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6"/>
  </bookViews>
  <sheets>
    <sheet name="Data" sheetId="2" r:id="rId1"/>
    <sheet name="Lookup_Tables" sheetId="3" r:id="rId2"/>
    <sheet name="Lookup" sheetId="4" r:id="rId3"/>
    <sheet name="IF_Functions" sheetId="5" r:id="rId4"/>
    <sheet name="SUMIFS_COUNTIFS" sheetId="6" r:id="rId5"/>
    <sheet name="Text_Functions" sheetId="7" r:id="rId6"/>
    <sheet name="Notes" sheetId="1" r:id="rId7"/>
  </sheets>
  <definedNames>
    <definedName name="Category">Data!$F$2:$F$301</definedName>
    <definedName name="Customer">Data!$C$2:$C$301</definedName>
    <definedName name="Discount">Data!$K$2:$K$301</definedName>
    <definedName name="DiscountTiers">Lookup_Tables!$G$5:$H$8</definedName>
    <definedName name="OrderDate">Data!$B$2:$B$301</definedName>
    <definedName name="OrderID">Data!$A$2:$A$301</definedName>
    <definedName name="PeopleTable">Lookup_Tables!$A$5:$B$8</definedName>
    <definedName name="ProductName">Data!$H$2:$H$301</definedName>
    <definedName name="Profit">Data!$L$2:$L$301</definedName>
    <definedName name="Quantity">Data!$J$2:$J$301</definedName>
    <definedName name="Region">Data!$E$2:$E$301</definedName>
    <definedName name="ReturnsTable">Lookup_Tables!$D$5:$E$300</definedName>
    <definedName name="Sales">Data!$I$2:$I$301</definedName>
    <definedName name="Segment">Data!$D$2:$D$301</definedName>
    <definedName name="SubCategory">Data!$G$2:$G$301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6" l="1"/>
  <c r="C23" i="6"/>
  <c r="F19" i="7"/>
  <c r="E19" i="7"/>
  <c r="D19" i="7"/>
  <c r="C19" i="7"/>
  <c r="B19" i="7"/>
  <c r="F18" i="7"/>
  <c r="E18" i="7"/>
  <c r="D18" i="7"/>
  <c r="C18" i="7"/>
  <c r="B18" i="7"/>
  <c r="L13" i="7"/>
  <c r="B13" i="7"/>
  <c r="J13" i="7" s="1"/>
  <c r="A13" i="7"/>
  <c r="E13" i="7" s="1"/>
  <c r="L12" i="7"/>
  <c r="B12" i="7"/>
  <c r="J12" i="7" s="1"/>
  <c r="A12" i="7"/>
  <c r="E12" i="7" s="1"/>
  <c r="L11" i="7"/>
  <c r="B11" i="7"/>
  <c r="J11" i="7" s="1"/>
  <c r="A11" i="7"/>
  <c r="E11" i="7" s="1"/>
  <c r="L10" i="7"/>
  <c r="B10" i="7"/>
  <c r="J10" i="7" s="1"/>
  <c r="A10" i="7"/>
  <c r="E10" i="7" s="1"/>
  <c r="L9" i="7"/>
  <c r="B9" i="7"/>
  <c r="J9" i="7" s="1"/>
  <c r="A9" i="7"/>
  <c r="E9" i="7" s="1"/>
  <c r="L8" i="7"/>
  <c r="B8" i="7"/>
  <c r="J8" i="7" s="1"/>
  <c r="A8" i="7"/>
  <c r="E8" i="7" s="1"/>
  <c r="L7" i="7"/>
  <c r="B7" i="7"/>
  <c r="J7" i="7" s="1"/>
  <c r="A7" i="7"/>
  <c r="E7" i="7" s="1"/>
  <c r="L6" i="7"/>
  <c r="B6" i="7"/>
  <c r="J6" i="7" s="1"/>
  <c r="A6" i="7"/>
  <c r="E6" i="7" s="1"/>
  <c r="L5" i="7"/>
  <c r="B5" i="7"/>
  <c r="J5" i="7" s="1"/>
  <c r="A5" i="7"/>
  <c r="E5" i="7" s="1"/>
  <c r="L4" i="7"/>
  <c r="B4" i="7"/>
  <c r="J4" i="7" s="1"/>
  <c r="A4" i="7"/>
  <c r="E4" i="7" s="1"/>
  <c r="D24" i="6"/>
  <c r="C24" i="6"/>
  <c r="B24" i="6"/>
  <c r="E24" i="6" s="1"/>
  <c r="D23" i="6"/>
  <c r="B23" i="6"/>
  <c r="D22" i="6"/>
  <c r="B22" i="6"/>
  <c r="D21" i="6"/>
  <c r="C21" i="6"/>
  <c r="B21" i="6"/>
  <c r="B15" i="6"/>
  <c r="B14" i="6"/>
  <c r="B13" i="6"/>
  <c r="B12" i="6"/>
  <c r="B11" i="6"/>
  <c r="B10" i="6"/>
  <c r="B9" i="6"/>
  <c r="B8" i="6"/>
  <c r="C30" i="5"/>
  <c r="C29" i="5"/>
  <c r="C28" i="5"/>
  <c r="D23" i="5"/>
  <c r="C23" i="5"/>
  <c r="B23" i="5"/>
  <c r="F23" i="5" s="1"/>
  <c r="G23" i="5" s="1"/>
  <c r="A23" i="5"/>
  <c r="D22" i="5"/>
  <c r="E22" i="5" s="1"/>
  <c r="C22" i="5"/>
  <c r="B22" i="5"/>
  <c r="A22" i="5"/>
  <c r="D21" i="5"/>
  <c r="C21" i="5"/>
  <c r="B21" i="5"/>
  <c r="A21" i="5"/>
  <c r="D20" i="5"/>
  <c r="E20" i="5" s="1"/>
  <c r="C20" i="5"/>
  <c r="B20" i="5"/>
  <c r="A20" i="5"/>
  <c r="D19" i="5"/>
  <c r="C19" i="5"/>
  <c r="B19" i="5"/>
  <c r="A19" i="5"/>
  <c r="D18" i="5"/>
  <c r="E18" i="5" s="1"/>
  <c r="C18" i="5"/>
  <c r="B18" i="5"/>
  <c r="A18" i="5"/>
  <c r="D17" i="5"/>
  <c r="C17" i="5"/>
  <c r="B17" i="5"/>
  <c r="A17" i="5"/>
  <c r="D16" i="5"/>
  <c r="E16" i="5" s="1"/>
  <c r="C16" i="5"/>
  <c r="B16" i="5"/>
  <c r="A16" i="5"/>
  <c r="D15" i="5"/>
  <c r="C15" i="5"/>
  <c r="B15" i="5"/>
  <c r="F15" i="5" s="1"/>
  <c r="G15" i="5" s="1"/>
  <c r="A15" i="5"/>
  <c r="D14" i="5"/>
  <c r="E14" i="5" s="1"/>
  <c r="C14" i="5"/>
  <c r="B14" i="5"/>
  <c r="A14" i="5"/>
  <c r="D13" i="5"/>
  <c r="C13" i="5"/>
  <c r="B13" i="5"/>
  <c r="A13" i="5"/>
  <c r="D12" i="5"/>
  <c r="E12" i="5" s="1"/>
  <c r="C12" i="5"/>
  <c r="B12" i="5"/>
  <c r="A12" i="5"/>
  <c r="D11" i="5"/>
  <c r="C11" i="5"/>
  <c r="B11" i="5"/>
  <c r="A11" i="5"/>
  <c r="D10" i="5"/>
  <c r="E10" i="5" s="1"/>
  <c r="C10" i="5"/>
  <c r="B10" i="5"/>
  <c r="A10" i="5"/>
  <c r="D9" i="5"/>
  <c r="E9" i="5" s="1"/>
  <c r="C9" i="5"/>
  <c r="B9" i="5"/>
  <c r="A9" i="5"/>
  <c r="D8" i="5"/>
  <c r="E8" i="5" s="1"/>
  <c r="C8" i="5"/>
  <c r="B8" i="5"/>
  <c r="A8" i="5"/>
  <c r="D7" i="5"/>
  <c r="E7" i="5" s="1"/>
  <c r="C7" i="5"/>
  <c r="B7" i="5"/>
  <c r="A7" i="5"/>
  <c r="D6" i="5"/>
  <c r="E6" i="5" s="1"/>
  <c r="C6" i="5"/>
  <c r="B6" i="5"/>
  <c r="A6" i="5"/>
  <c r="D5" i="5"/>
  <c r="C5" i="5"/>
  <c r="B5" i="5"/>
  <c r="A5" i="5"/>
  <c r="D4" i="5"/>
  <c r="E4" i="5" s="1"/>
  <c r="C4" i="5"/>
  <c r="B4" i="5"/>
  <c r="A4" i="5"/>
  <c r="C21" i="4"/>
  <c r="C20" i="4"/>
  <c r="C19" i="4"/>
  <c r="C18" i="4"/>
  <c r="C9" i="4"/>
  <c r="C8" i="4"/>
  <c r="C7" i="4"/>
  <c r="C6" i="4"/>
  <c r="C5" i="4"/>
  <c r="D4" i="7" l="1"/>
  <c r="D5" i="7"/>
  <c r="D6" i="7"/>
  <c r="D7" i="7"/>
  <c r="D8" i="7"/>
  <c r="D9" i="7"/>
  <c r="D10" i="7"/>
  <c r="D11" i="7"/>
  <c r="D12" i="7"/>
  <c r="D13" i="7"/>
  <c r="B16" i="6"/>
  <c r="B25" i="6"/>
  <c r="D25" i="6"/>
  <c r="E23" i="6"/>
  <c r="C25" i="6"/>
  <c r="E22" i="6"/>
  <c r="H6" i="5"/>
  <c r="H7" i="5"/>
  <c r="H11" i="5"/>
  <c r="H12" i="5"/>
  <c r="H15" i="5"/>
  <c r="H16" i="5"/>
  <c r="H19" i="5"/>
  <c r="H20" i="5"/>
  <c r="H23" i="5"/>
  <c r="H8" i="5"/>
  <c r="F10" i="5"/>
  <c r="G10" i="5" s="1"/>
  <c r="F13" i="5"/>
  <c r="G13" i="5" s="1"/>
  <c r="F21" i="5"/>
  <c r="G21" i="5" s="1"/>
  <c r="E5" i="5"/>
  <c r="H4" i="5"/>
  <c r="F7" i="5"/>
  <c r="G7" i="5" s="1"/>
  <c r="H9" i="5"/>
  <c r="H10" i="5"/>
  <c r="H14" i="5"/>
  <c r="H18" i="5"/>
  <c r="H22" i="5"/>
  <c r="F14" i="5"/>
  <c r="G14" i="5" s="1"/>
  <c r="F18" i="5"/>
  <c r="G18" i="5" s="1"/>
  <c r="F22" i="5"/>
  <c r="G22" i="5" s="1"/>
  <c r="E17" i="5"/>
  <c r="F4" i="5"/>
  <c r="G4" i="5" s="1"/>
  <c r="F5" i="5"/>
  <c r="G5" i="5" s="1"/>
  <c r="H5" i="5"/>
  <c r="F8" i="5"/>
  <c r="G8" i="5" s="1"/>
  <c r="F9" i="5"/>
  <c r="G9" i="5" s="1"/>
  <c r="F11" i="5"/>
  <c r="G11" i="5" s="1"/>
  <c r="F12" i="5"/>
  <c r="G12" i="5" s="1"/>
  <c r="E15" i="5"/>
  <c r="H17" i="5"/>
  <c r="F19" i="5"/>
  <c r="G19" i="5" s="1"/>
  <c r="F20" i="5"/>
  <c r="G20" i="5" s="1"/>
  <c r="E23" i="5"/>
  <c r="E13" i="5"/>
  <c r="F17" i="5"/>
  <c r="G17" i="5" s="1"/>
  <c r="E21" i="5"/>
  <c r="F6" i="5"/>
  <c r="G6" i="5" s="1"/>
  <c r="E11" i="5"/>
  <c r="H13" i="5"/>
  <c r="F16" i="5"/>
  <c r="G16" i="5" s="1"/>
  <c r="E19" i="5"/>
  <c r="H21" i="5"/>
  <c r="E21" i="6"/>
  <c r="C4" i="7"/>
  <c r="G4" i="7"/>
  <c r="H4" i="7" s="1"/>
  <c r="K4" i="7"/>
  <c r="C5" i="7"/>
  <c r="G5" i="7"/>
  <c r="H5" i="7" s="1"/>
  <c r="K5" i="7"/>
  <c r="C6" i="7"/>
  <c r="G6" i="7"/>
  <c r="H6" i="7" s="1"/>
  <c r="K6" i="7"/>
  <c r="C7" i="7"/>
  <c r="G7" i="7"/>
  <c r="H7" i="7" s="1"/>
  <c r="K7" i="7"/>
  <c r="C8" i="7"/>
  <c r="G8" i="7"/>
  <c r="H8" i="7" s="1"/>
  <c r="K8" i="7"/>
  <c r="C9" i="7"/>
  <c r="G9" i="7"/>
  <c r="H9" i="7" s="1"/>
  <c r="K9" i="7"/>
  <c r="C10" i="7"/>
  <c r="G10" i="7"/>
  <c r="H10" i="7" s="1"/>
  <c r="K10" i="7"/>
  <c r="C11" i="7"/>
  <c r="G11" i="7"/>
  <c r="H11" i="7" s="1"/>
  <c r="K11" i="7"/>
  <c r="C12" i="7"/>
  <c r="G12" i="7"/>
  <c r="H12" i="7" s="1"/>
  <c r="K12" i="7"/>
  <c r="C13" i="7"/>
  <c r="G13" i="7"/>
  <c r="H13" i="7" s="1"/>
  <c r="K13" i="7"/>
  <c r="I7" i="7"/>
  <c r="I12" i="7"/>
  <c r="F4" i="7"/>
  <c r="F5" i="7"/>
  <c r="F6" i="7"/>
  <c r="F7" i="7"/>
  <c r="F8" i="7"/>
  <c r="F9" i="7"/>
  <c r="F10" i="7"/>
  <c r="F11" i="7"/>
  <c r="F12" i="7"/>
  <c r="F13" i="7"/>
  <c r="I8" i="7" l="1"/>
  <c r="I13" i="7"/>
  <c r="I4" i="7"/>
  <c r="I5" i="7"/>
  <c r="I9" i="7"/>
  <c r="E25" i="6"/>
  <c r="B26" i="6" s="1"/>
  <c r="I11" i="7"/>
  <c r="I10" i="7"/>
  <c r="I6" i="7"/>
</calcChain>
</file>

<file path=xl/sharedStrings.xml><?xml version="1.0" encoding="utf-8"?>
<sst xmlns="http://schemas.openxmlformats.org/spreadsheetml/2006/main" count="2857" uniqueCount="1218">
  <si>
    <t>Excel Formulas &amp; Functions: Notes</t>
  </si>
  <si>
    <t>Function</t>
  </si>
  <si>
    <t>When to use it</t>
  </si>
  <si>
    <t>Example</t>
  </si>
  <si>
    <t>VLOOKUP</t>
  </si>
  <si>
    <t>Simple exact lookups, like order to returned status</t>
  </si>
  <si>
    <t>INDEX/MATCH</t>
  </si>
  <si>
    <t>XLOOKUP</t>
  </si>
  <si>
    <t>Excel 365/2021 or Google Sheets</t>
  </si>
  <si>
    <t>IF / nested IF</t>
  </si>
  <si>
    <t>AND / OR</t>
  </si>
  <si>
    <t>Flag rows that meet all (AND) or any (OR) conditions</t>
  </si>
  <si>
    <t>SUMIF vs SUMIFS</t>
  </si>
  <si>
    <t>SUMIF: one condition. SUMIFS: one or more conditions</t>
  </si>
  <si>
    <t>AVERAGEIFS</t>
  </si>
  <si>
    <t>Average discount per region</t>
  </si>
  <si>
    <t>TRIM / PROPER / UPPER / LOWER</t>
  </si>
  <si>
    <t>Cleaning imported text before lookups</t>
  </si>
  <si>
    <t>Order ID</t>
  </si>
  <si>
    <t>Order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</si>
  <si>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</si>
  <si>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</si>
  <si>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</si>
  <si>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</si>
  <si>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</si>
  <si>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</si>
  <si>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</si>
  <si>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</si>
  <si>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</si>
  <si>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</si>
  <si>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CA-2026-192314</t>
  </si>
  <si>
    <t>Jennifer Sheldon</t>
  </si>
  <si>
    <t>Corporate</t>
  </si>
  <si>
    <t>East</t>
  </si>
  <si>
    <t>Office Supplies</t>
  </si>
  <si>
    <t>Paper</t>
  </si>
  <si>
    <t>Hammermill Color Copier Paper (28Lb. and 96 Bright)</t>
  </si>
  <si>
    <t>US-2023-166863</t>
  </si>
  <si>
    <t>Sam Craven</t>
  </si>
  <si>
    <t>Consumer</t>
  </si>
  <si>
    <t>Central</t>
  </si>
  <si>
    <t>Technology</t>
  </si>
  <si>
    <t>Phones</t>
  </si>
  <si>
    <t>HTC One Mini</t>
  </si>
  <si>
    <t>US-2023-147704</t>
  </si>
  <si>
    <t>Steven Roelle</t>
  </si>
  <si>
    <t>Home Office</t>
  </si>
  <si>
    <t>Storage</t>
  </si>
  <si>
    <t>File Shuttle II and Handi-File, Black</t>
  </si>
  <si>
    <t>US-2023-163468</t>
  </si>
  <si>
    <t>Joe Kamberova</t>
  </si>
  <si>
    <t>Fellowes Stor/Drawer Steel Plus Storage Drawers</t>
  </si>
  <si>
    <t>US-2026-102288</t>
  </si>
  <si>
    <t>Zuschuss Carroll</t>
  </si>
  <si>
    <t>Appliances</t>
  </si>
  <si>
    <t>Holmes Visible Mist Ultrasonic Humidifier with 2.3-Gallon Output per Day, Replacement Filter</t>
  </si>
  <si>
    <t>US-2026-160899</t>
  </si>
  <si>
    <t>Daniel Raglin</t>
  </si>
  <si>
    <t>South</t>
  </si>
  <si>
    <t>Binders</t>
  </si>
  <si>
    <t>Satellite Sectional Post Binders</t>
  </si>
  <si>
    <t>US-2025-138695</t>
  </si>
  <si>
    <t>Kimberly Carter</t>
  </si>
  <si>
    <t>Furniture</t>
  </si>
  <si>
    <t>Chairs</t>
  </si>
  <si>
    <t>Novimex Fabric Task Chair</t>
  </si>
  <si>
    <t>US-2026-107132</t>
  </si>
  <si>
    <t>Scott Cohen</t>
  </si>
  <si>
    <t>Supplies</t>
  </si>
  <si>
    <t>Acme Preferred Stainless Steel Scissors</t>
  </si>
  <si>
    <t>US-2024-133242</t>
  </si>
  <si>
    <t>Keith Herrera</t>
  </si>
  <si>
    <t>Wilson Jones International Size A4 Ring Binders</t>
  </si>
  <si>
    <t>US-2025-121748</t>
  </si>
  <si>
    <t>Victoria Wilson</t>
  </si>
  <si>
    <t>West</t>
  </si>
  <si>
    <t>Accessories</t>
  </si>
  <si>
    <t>Micro Innovations USB RF Wireless Keyboard with Mouse</t>
  </si>
  <si>
    <t>US-2026-149706</t>
  </si>
  <si>
    <t>Alejandro Savely</t>
  </si>
  <si>
    <t>Enermax Briskie RF Wireless Keyboard and Mouse Combo</t>
  </si>
  <si>
    <t>US-2026-148922</t>
  </si>
  <si>
    <t>Stephanie Ulpright</t>
  </si>
  <si>
    <t>Cyber Acoustics AC-202b Speech Recognition Stereo Headset</t>
  </si>
  <si>
    <t>US-2026-119809</t>
  </si>
  <si>
    <t>Yana Sorensen</t>
  </si>
  <si>
    <t>Furnishings</t>
  </si>
  <si>
    <t>Contract Clock, 14", Brown</t>
  </si>
  <si>
    <t>US-2026-143252</t>
  </si>
  <si>
    <t>Harold Engle</t>
  </si>
  <si>
    <t>Maxell 74 Minute CDR, 10/Pack</t>
  </si>
  <si>
    <t>US-2026-152807</t>
  </si>
  <si>
    <t>Mick Crebagga</t>
  </si>
  <si>
    <t>Eldon Shelf Savers Cubes and Bins</t>
  </si>
  <si>
    <t>US-2025-113733</t>
  </si>
  <si>
    <t>Lena Hernandez</t>
  </si>
  <si>
    <t>Maxell 4.7GB DVD-R</t>
  </si>
  <si>
    <t>US-2026-135062</t>
  </si>
  <si>
    <t>Rob Lucas</t>
  </si>
  <si>
    <t>Xerox 1945</t>
  </si>
  <si>
    <t>US-2026-163566</t>
  </si>
  <si>
    <t>Ted Butterfield</t>
  </si>
  <si>
    <t>Labels</t>
  </si>
  <si>
    <t>Avery 476</t>
  </si>
  <si>
    <t>US-2024-138121</t>
  </si>
  <si>
    <t>John Lee</t>
  </si>
  <si>
    <t>Tenex Carpeted, Granite-Look or Clear Contemporary Contour Shape Chair Mats</t>
  </si>
  <si>
    <t>US-2025-159639</t>
  </si>
  <si>
    <t>Pamela Coakley</t>
  </si>
  <si>
    <t>Ultra Door Pull Handle</t>
  </si>
  <si>
    <t>US-2025-109260</t>
  </si>
  <si>
    <t>Tanja Norvell</t>
  </si>
  <si>
    <t>Logitech VX Revolution Cordless Laser Mouse for Notebooks (Black)</t>
  </si>
  <si>
    <t>US-2025-130225</t>
  </si>
  <si>
    <t>Ryan Crowe</t>
  </si>
  <si>
    <t>Envelopes</t>
  </si>
  <si>
    <t>Cameo Buff Policy Envelopes</t>
  </si>
  <si>
    <t>US-2026-140949</t>
  </si>
  <si>
    <t>Denny Blanton</t>
  </si>
  <si>
    <t>Acco Pressboard Covers with Storage Hooks, 9 1/2" x 11", Executive Red</t>
  </si>
  <si>
    <t>US-2024-146696</t>
  </si>
  <si>
    <t>Rick Duston</t>
  </si>
  <si>
    <t>Wilson Jones Standard D-Ring Binders</t>
  </si>
  <si>
    <t>US-2026-135111</t>
  </si>
  <si>
    <t>Christopher Schild</t>
  </si>
  <si>
    <t>Wilson Jones Impact Binders</t>
  </si>
  <si>
    <t>US-2023-103940</t>
  </si>
  <si>
    <t>Bradley Nguyen</t>
  </si>
  <si>
    <t>GBC Prestige Therm-A-Bind Covers</t>
  </si>
  <si>
    <t>US-2026-122595</t>
  </si>
  <si>
    <t>Gary Mitchum</t>
  </si>
  <si>
    <t>Master Caster Door Stop, Gray</t>
  </si>
  <si>
    <t>US-2026-134285</t>
  </si>
  <si>
    <t>David Smith</t>
  </si>
  <si>
    <t>Fasteners</t>
  </si>
  <si>
    <t>Binder Clips by OIC</t>
  </si>
  <si>
    <t>US-2024-132906</t>
  </si>
  <si>
    <t>Charles Crestani</t>
  </si>
  <si>
    <t>Martin-Yale Premier Letter Opener</t>
  </si>
  <si>
    <t>US-2026-169327</t>
  </si>
  <si>
    <t>Marc Harrigan</t>
  </si>
  <si>
    <t>GBC Velobind Prepunched Cover Sets, Regency Series</t>
  </si>
  <si>
    <t>US-2026-144904</t>
  </si>
  <si>
    <t>Katrina Willman</t>
  </si>
  <si>
    <t>Global Ergonomic Managers Chair</t>
  </si>
  <si>
    <t>US-2026-115609</t>
  </si>
  <si>
    <t>Cindy Stewart</t>
  </si>
  <si>
    <t>Fellowes 8 Outlet Superior Workstation Surge Protector w/o Phone/Fax/Modem Protection</t>
  </si>
  <si>
    <t>US-2024-162537</t>
  </si>
  <si>
    <t>Rob Dowd</t>
  </si>
  <si>
    <t>Magna Visual Magnetic Picture Hangers</t>
  </si>
  <si>
    <t>US-2026-158512</t>
  </si>
  <si>
    <t>Dianna Arnett</t>
  </si>
  <si>
    <t>Flat Face Poster Frame</t>
  </si>
  <si>
    <t>US-2023-155817</t>
  </si>
  <si>
    <t>Sara Luxemburg</t>
  </si>
  <si>
    <t>Advantus Rolling Drawer Organizers</t>
  </si>
  <si>
    <t>US-2025-140634</t>
  </si>
  <si>
    <t>Hunter Lopez</t>
  </si>
  <si>
    <t>Staple envelope</t>
  </si>
  <si>
    <t>US-2026-127306</t>
  </si>
  <si>
    <t>Brosina Hoffman</t>
  </si>
  <si>
    <t>Avery Durable Slant Ring Binders With Label Holder</t>
  </si>
  <si>
    <t>US-2024-128027</t>
  </si>
  <si>
    <t>Christopher Martinez</t>
  </si>
  <si>
    <t>Fellowes Officeware Wire Shelving</t>
  </si>
  <si>
    <t>US-2026-105214</t>
  </si>
  <si>
    <t>Troy Staebel</t>
  </si>
  <si>
    <t>Hon Multipurpose Stacking Arm Chairs</t>
  </si>
  <si>
    <t>US-2026-128965</t>
  </si>
  <si>
    <t>Pamela Stobb</t>
  </si>
  <si>
    <t>Stockwell Push Pins</t>
  </si>
  <si>
    <t>US-2025-166674</t>
  </si>
  <si>
    <t>Raymond Buch</t>
  </si>
  <si>
    <t>Art</t>
  </si>
  <si>
    <t>Newell 342</t>
  </si>
  <si>
    <t>US-2025-139087</t>
  </si>
  <si>
    <t>Dennis Kane</t>
  </si>
  <si>
    <t>Eldon Image Series Black Desk Accessories</t>
  </si>
  <si>
    <t>US-2024-130519</t>
  </si>
  <si>
    <t>Nat Gilpin</t>
  </si>
  <si>
    <t>Xerox 21</t>
  </si>
  <si>
    <t>US-2024-124107</t>
  </si>
  <si>
    <t>Brian Moss</t>
  </si>
  <si>
    <t>Logitech G19 Programmable Gaming Keyboard</t>
  </si>
  <si>
    <t>US-2025-166163</t>
  </si>
  <si>
    <t>Craig Yedwab</t>
  </si>
  <si>
    <t>Avery 488</t>
  </si>
  <si>
    <t>US-2023-129147</t>
  </si>
  <si>
    <t>Liz Carlisle</t>
  </si>
  <si>
    <t>Polycom CX300 Desktop Phone USB VoIP phone</t>
  </si>
  <si>
    <t>US-2025-144057</t>
  </si>
  <si>
    <t>Cynthia Voltz</t>
  </si>
  <si>
    <t>Ibico Standard Transparent Covers</t>
  </si>
  <si>
    <t>US-2025-133368</t>
  </si>
  <si>
    <t>Anna Gayman</t>
  </si>
  <si>
    <t>Electrix Fluorescent Magnifier Lamps &amp; Weighted Base</t>
  </si>
  <si>
    <t>US-2026-159597</t>
  </si>
  <si>
    <t>Matt Collister</t>
  </si>
  <si>
    <t>Safco Wire Cube Shelving System, For Use as 4 or 5 14" Cubes, Black</t>
  </si>
  <si>
    <t>US-2025-125164</t>
  </si>
  <si>
    <t>Sally Hughsby</t>
  </si>
  <si>
    <t>Canvas Sectional Post Binders</t>
  </si>
  <si>
    <t>US-2025-153157</t>
  </si>
  <si>
    <t>Trudy Brown</t>
  </si>
  <si>
    <t>Plantronics Encore H101 Dual Earpieces Headset</t>
  </si>
  <si>
    <t>US-2025-133935</t>
  </si>
  <si>
    <t>Jane Waco</t>
  </si>
  <si>
    <t>Global High-Back Leather Tilter, Burgundy</t>
  </si>
  <si>
    <t>US-2024-137071</t>
  </si>
  <si>
    <t>Emily Ducich</t>
  </si>
  <si>
    <t>Hypercom P1300 Pinpad</t>
  </si>
  <si>
    <t>US-2024-162201</t>
  </si>
  <si>
    <t>Andrew Gjertsen</t>
  </si>
  <si>
    <t>Premier Elliptical Ring Binder, Black</t>
  </si>
  <si>
    <t>US-2025-121370</t>
  </si>
  <si>
    <t>Eugene Barchas</t>
  </si>
  <si>
    <t>US-2026-117023</t>
  </si>
  <si>
    <t>Joni Wasserman</t>
  </si>
  <si>
    <t>Quartet Omega Colored Chalk, 12/Pack</t>
  </si>
  <si>
    <t>US-2026-167941</t>
  </si>
  <si>
    <t>Jill Fjeld</t>
  </si>
  <si>
    <t>Xerox 220</t>
  </si>
  <si>
    <t>US-2026-162929</t>
  </si>
  <si>
    <t>Adrian Shami</t>
  </si>
  <si>
    <t>Xerox 1898</t>
  </si>
  <si>
    <t>US-2026-145233</t>
  </si>
  <si>
    <t>Dianna Vittorini</t>
  </si>
  <si>
    <t>GE 30524EE4</t>
  </si>
  <si>
    <t>US-2025-138478</t>
  </si>
  <si>
    <t>Dennis Pardue</t>
  </si>
  <si>
    <t>Panasonic KP-150 Electric Pencil Sharpener</t>
  </si>
  <si>
    <t>US-2023-100895</t>
  </si>
  <si>
    <t>Stewart Visinsky</t>
  </si>
  <si>
    <t>Mophie Juice Pack Helium for iPhone</t>
  </si>
  <si>
    <t>US-2026-102519</t>
  </si>
  <si>
    <t>Memorex Mini Travel Drive 16 GB USB 2.0 Flash Drive</t>
  </si>
  <si>
    <t>US-2023-115812</t>
  </si>
  <si>
    <t>Belkin F5C206VTEL 6 Outlet Surge</t>
  </si>
  <si>
    <t>US-2025-105284</t>
  </si>
  <si>
    <t>Matthew Grinstein</t>
  </si>
  <si>
    <t>Stockwell Gold Paper Clips</t>
  </si>
  <si>
    <t>US-2025-101329</t>
  </si>
  <si>
    <t>Michael Moore</t>
  </si>
  <si>
    <t>Barrel Sharpener</t>
  </si>
  <si>
    <t>US-2025-155971</t>
  </si>
  <si>
    <t>Ross Baird</t>
  </si>
  <si>
    <t>Xerox Blank Computer Paper</t>
  </si>
  <si>
    <t>US-2025-167682</t>
  </si>
  <si>
    <t>Zuschuss Donatelli</t>
  </si>
  <si>
    <t>Plantronics Voyager Pro HD - Bluetooth Headset</t>
  </si>
  <si>
    <t>US-2025-150483</t>
  </si>
  <si>
    <t>Beth Paige</t>
  </si>
  <si>
    <t>Xerox 212</t>
  </si>
  <si>
    <t>US-2024-130365</t>
  </si>
  <si>
    <t>Global Armless Task Chair, Royal Blue</t>
  </si>
  <si>
    <t>US-2026-164378</t>
  </si>
  <si>
    <t>Michelle Moray</t>
  </si>
  <si>
    <t>Newell 349</t>
  </si>
  <si>
    <t>US-2024-135020</t>
  </si>
  <si>
    <t>Maxwell Schwartz</t>
  </si>
  <si>
    <t>Panasonic Kx-TS550</t>
  </si>
  <si>
    <t>US-2023-116568</t>
  </si>
  <si>
    <t>Bryan Mills</t>
  </si>
  <si>
    <t>Iceberg Nesting Folding Chair, 19w x 6d x 43h</t>
  </si>
  <si>
    <t>US-2026-131954</t>
  </si>
  <si>
    <t>Darrin Sayre</t>
  </si>
  <si>
    <t>Wilson Jones Century Plastic Molded Ring Binders</t>
  </si>
  <si>
    <t>US-2025-113978</t>
  </si>
  <si>
    <t>Tony Sayre</t>
  </si>
  <si>
    <t>SAFCO Commercial Wire Shelving, Black</t>
  </si>
  <si>
    <t>US-2025-134334</t>
  </si>
  <si>
    <t>Dave Kipp</t>
  </si>
  <si>
    <t>Economy #2 Pencils</t>
  </si>
  <si>
    <t>US-2024-159982</t>
  </si>
  <si>
    <t>Dan Reichenbach</t>
  </si>
  <si>
    <t>Logitech Mobile Speakerphone P710e - speaker phone</t>
  </si>
  <si>
    <t>US-2023-163797</t>
  </si>
  <si>
    <t>Pauline Chand</t>
  </si>
  <si>
    <t>Alliance Super-Size Bands, Assorted Sizes</t>
  </si>
  <si>
    <t>US-2024-111234</t>
  </si>
  <si>
    <t>Ann Blume</t>
  </si>
  <si>
    <t>Smead Alpha-Z Color-Coded Second Alphabetical Labels and Starter Set</t>
  </si>
  <si>
    <t>US-2024-120502</t>
  </si>
  <si>
    <t>Bill Tyler</t>
  </si>
  <si>
    <t>Aastra 57i VoIP phone</t>
  </si>
  <si>
    <t>Jabra BIZ 2300 Duo QD Duo Corded Headset</t>
  </si>
  <si>
    <t>US-2024-117884</t>
  </si>
  <si>
    <t>Debra Catini</t>
  </si>
  <si>
    <t>Logitech G602 Wireless Gaming Mouse</t>
  </si>
  <si>
    <t>CA-2023-115238</t>
  </si>
  <si>
    <t>iKross Bluetooth Portable Keyboard + Cell Phone Stand Holder + Brush for Apple iPhone 5S 5C 5, 4S 4</t>
  </si>
  <si>
    <t>US-2024-143532</t>
  </si>
  <si>
    <t>Dan Campbell</t>
  </si>
  <si>
    <t>Adams Telephone Message Books, 5 1/4” x 11”</t>
  </si>
  <si>
    <t>US-2025-134369</t>
  </si>
  <si>
    <t>Becky Castell</t>
  </si>
  <si>
    <t>Xerox 1966</t>
  </si>
  <si>
    <t>US-2025-160479</t>
  </si>
  <si>
    <t>Angele Hood</t>
  </si>
  <si>
    <t>SANFORD Major Accent Highlighters</t>
  </si>
  <si>
    <t>US-2026-117079</t>
  </si>
  <si>
    <t>Jocasta Rupert</t>
  </si>
  <si>
    <t>Wilson SignalBoost 841262 DB PRO Amplifier Kit</t>
  </si>
  <si>
    <t>DAX Two-Tone Rosewood/Black Document Frame, Desktop, 5 x 7</t>
  </si>
  <si>
    <t>US-2025-161473</t>
  </si>
  <si>
    <t>Thomas Boland</t>
  </si>
  <si>
    <t>Avery 473</t>
  </si>
  <si>
    <t>C-Line Cubicle Keepers Polyproplyene Holder With Velcro Backings</t>
  </si>
  <si>
    <t>Wilson Jones Active Use Binders</t>
  </si>
  <si>
    <t>US-2025-114489</t>
  </si>
  <si>
    <t>Justin Ellison</t>
  </si>
  <si>
    <t>Anker Astro 15000mAh USB Portable Charger</t>
  </si>
  <si>
    <t>US-2023-100090</t>
  </si>
  <si>
    <t>Ed Braxton</t>
  </si>
  <si>
    <t>Wilson Jones Ledger-Size, Piano-Hinge Binder, 2", Blue</t>
  </si>
  <si>
    <t>US-2026-121888</t>
  </si>
  <si>
    <t>Carl Ludwig</t>
  </si>
  <si>
    <t>GE DSL Phone Line Filter</t>
  </si>
  <si>
    <t>US-2026-110821</t>
  </si>
  <si>
    <t>Chloris Kastensmidt</t>
  </si>
  <si>
    <t>Logitech K350 2.4Ghz Wireless Keyboard</t>
  </si>
  <si>
    <t>Dana Swing-Arm Lamps</t>
  </si>
  <si>
    <t>US-2026-159464</t>
  </si>
  <si>
    <t>Todd Boyes</t>
  </si>
  <si>
    <t>Bookcases</t>
  </si>
  <si>
    <t>Hon 4-Shelf Metal Bookcases</t>
  </si>
  <si>
    <t>US-2026-120376</t>
  </si>
  <si>
    <t>Theone Pippenger</t>
  </si>
  <si>
    <t>Microsoft Wireless Mobile Mouse 4000</t>
  </si>
  <si>
    <t>US-2024-157770</t>
  </si>
  <si>
    <t>US-2026-119816</t>
  </si>
  <si>
    <t>Tonja Turnell</t>
  </si>
  <si>
    <t>Crate-A-Files</t>
  </si>
  <si>
    <t>US-2023-142769</t>
  </si>
  <si>
    <t>Resi Pölking</t>
  </si>
  <si>
    <t>OIC Thumb-Tacks</t>
  </si>
  <si>
    <t>US-2026-127782</t>
  </si>
  <si>
    <t>Thea Hudgings</t>
  </si>
  <si>
    <t>Wilson Electronics DB Pro Signal Booster</t>
  </si>
  <si>
    <t>US-2026-133095</t>
  </si>
  <si>
    <t>Erica Hernandez</t>
  </si>
  <si>
    <t>GBC VeloBind Cover Sets</t>
  </si>
  <si>
    <t>US-2025-117037</t>
  </si>
  <si>
    <t>Luke Weiss</t>
  </si>
  <si>
    <t>US-2026-106859</t>
  </si>
  <si>
    <t>Benjamin Farhat</t>
  </si>
  <si>
    <t>Xerox 230</t>
  </si>
  <si>
    <t>US-2025-111290</t>
  </si>
  <si>
    <t>Fellowes Staxonsteel Drawer Files</t>
  </si>
  <si>
    <t>US-2025-105830</t>
  </si>
  <si>
    <t>Duane Benoit</t>
  </si>
  <si>
    <t>Tennsco Industrial Shelving</t>
  </si>
  <si>
    <t>US-2023-137274</t>
  </si>
  <si>
    <t>Mike Gockenbach</t>
  </si>
  <si>
    <t>Tables</t>
  </si>
  <si>
    <t>Bush Advantage Collection Racetrack Conference Table</t>
  </si>
  <si>
    <t>US-2026-138289</t>
  </si>
  <si>
    <t>Andy Reiter</t>
  </si>
  <si>
    <t>TOPS Money Receipt Book, Consecutively Numbered in Red,</t>
  </si>
  <si>
    <t>US-2025-163776</t>
  </si>
  <si>
    <t>Joy Smith</t>
  </si>
  <si>
    <t>US-2025-154018</t>
  </si>
  <si>
    <t>Helen Andreada</t>
  </si>
  <si>
    <t>Tenex "The Solids" Textured Chair Mats</t>
  </si>
  <si>
    <t>US-2026-105620</t>
  </si>
  <si>
    <t>Jennifer Halladay</t>
  </si>
  <si>
    <t>Machines</t>
  </si>
  <si>
    <t>Lexmark 20R1285 X6650 Wireless All-in-One Printer</t>
  </si>
  <si>
    <t>US-2026-156664</t>
  </si>
  <si>
    <t>Fellowes Twister Kit, Gray/Clear, 3/pkg</t>
  </si>
  <si>
    <t>US-2026-147452</t>
  </si>
  <si>
    <t>Cari Sayre</t>
  </si>
  <si>
    <t>Commercial WindTunnel Clean Air Upright Vacuum, Replacement Belts, Filtration Bags</t>
  </si>
  <si>
    <t>US-2023-167927</t>
  </si>
  <si>
    <t>Xylona Preis</t>
  </si>
  <si>
    <t>US-2026-115931</t>
  </si>
  <si>
    <t>Jim Mitchum</t>
  </si>
  <si>
    <t>US-2024-136987</t>
  </si>
  <si>
    <t>Easy-staple paper</t>
  </si>
  <si>
    <t>CA-2025-111254</t>
  </si>
  <si>
    <t>Michael Knudson</t>
  </si>
  <si>
    <t>Newell 343</t>
  </si>
  <si>
    <t>US-2023-140452</t>
  </si>
  <si>
    <t>Berenike Kampe</t>
  </si>
  <si>
    <t>Rogers Deluxe File Chest</t>
  </si>
  <si>
    <t>US-2025-137050</t>
  </si>
  <si>
    <t>Steven Ward</t>
  </si>
  <si>
    <t>Ideal Clamps</t>
  </si>
  <si>
    <t>US-2024-136378</t>
  </si>
  <si>
    <t>Aluminum Screw Posts</t>
  </si>
  <si>
    <t>US-2024-136798</t>
  </si>
  <si>
    <t>Daniel Lacy</t>
  </si>
  <si>
    <t>VTech DS6151</t>
  </si>
  <si>
    <t>US-2024-115091</t>
  </si>
  <si>
    <t>Joel Jenkins</t>
  </si>
  <si>
    <t>Newell 324</t>
  </si>
  <si>
    <t>US-2025-162313</t>
  </si>
  <si>
    <t>Victoria Brennan</t>
  </si>
  <si>
    <t>Euro-Pro Shark Turbo Vacuum</t>
  </si>
  <si>
    <t>US-2024-167010</t>
  </si>
  <si>
    <t>Valerie Takahito</t>
  </si>
  <si>
    <t>Tenex Antistatic Computer Chair Mats</t>
  </si>
  <si>
    <t>US-2024-105613</t>
  </si>
  <si>
    <t>Kristina Nunn</t>
  </si>
  <si>
    <t>Verbatim Slim CD and DVD Storage Cases, 50/Pack</t>
  </si>
  <si>
    <t>US-2026-130631</t>
  </si>
  <si>
    <t>Bruce Stewart</t>
  </si>
  <si>
    <t>Acco Glide Clips</t>
  </si>
  <si>
    <t>US-2026-137582</t>
  </si>
  <si>
    <t>Pressboard Hanging Data Binders for Unburst Sheets</t>
  </si>
  <si>
    <t>US-2025-123358</t>
  </si>
  <si>
    <t>Brian Thompson</t>
  </si>
  <si>
    <t>US-2024-150413</t>
  </si>
  <si>
    <t>Cari Schnelling</t>
  </si>
  <si>
    <t>Avery Printable Repositionable Plastic Tabs</t>
  </si>
  <si>
    <t>US-2024-109113</t>
  </si>
  <si>
    <t>Eileen Kiefer</t>
  </si>
  <si>
    <t>Maxell 4.7GB DVD+RW 3/Pack</t>
  </si>
  <si>
    <t>US-2026-112515</t>
  </si>
  <si>
    <t>Alan Schoenberger</t>
  </si>
  <si>
    <t>Acco Pressboard Covers with Storage Hooks, 14 7/8" x 11", Light Blue</t>
  </si>
  <si>
    <t>US-2024-102491</t>
  </si>
  <si>
    <t>Anker Ultra-Slim Mini Bluetooth 3.0 Wireless Keyboard</t>
  </si>
  <si>
    <t>US-2024-144274</t>
  </si>
  <si>
    <t>Pierre Wener</t>
  </si>
  <si>
    <t>1/4 Fold Party Design Invitations &amp; White Envelopes, 24 8-1/2" X 11" Cards, 25 Env./Pack</t>
  </si>
  <si>
    <t>US-2024-131422</t>
  </si>
  <si>
    <t>George Bell</t>
  </si>
  <si>
    <t>Harbour Creations Steel Folding Chair</t>
  </si>
  <si>
    <t>US-2024-113222</t>
  </si>
  <si>
    <t>Anthony Garverick</t>
  </si>
  <si>
    <t>Avery Poly Binder Pockets</t>
  </si>
  <si>
    <t>US-2024-140144</t>
  </si>
  <si>
    <t>Stewart Carmichael</t>
  </si>
  <si>
    <t>Howard Miller 13" Diameter Pewter Finish Round Wall Clock</t>
  </si>
  <si>
    <t>US-2023-102274</t>
  </si>
  <si>
    <t>Dave Hallsten</t>
  </si>
  <si>
    <t>Logitech B530 USB Headset - headset - Full size, Binaural</t>
  </si>
  <si>
    <t>US-2023-119081</t>
  </si>
  <si>
    <t>Tom Ashbrook</t>
  </si>
  <si>
    <t>GBC DocuBind P100 Manual Binding Machine</t>
  </si>
  <si>
    <t>US-2024-120915</t>
  </si>
  <si>
    <t>Jennifer Jackson</t>
  </si>
  <si>
    <t>Nortel Meridian M3904 Professional Digital phone</t>
  </si>
  <si>
    <t>US-2024-128587</t>
  </si>
  <si>
    <t>Harry Marie</t>
  </si>
  <si>
    <t>Eldon Regeneration Recycled Desk Accessories, Black</t>
  </si>
  <si>
    <t>US-2023-141313</t>
  </si>
  <si>
    <t>Anthony Jacobs</t>
  </si>
  <si>
    <t>Xerox 1906</t>
  </si>
  <si>
    <t>US-2026-106180</t>
  </si>
  <si>
    <t>Convenience Packs of Business Envelopes</t>
  </si>
  <si>
    <t>US-2025-169166</t>
  </si>
  <si>
    <t>Sonia Sunley</t>
  </si>
  <si>
    <t>Sony Micro Vault Click 8 GB USB 2.0 Flash Drive</t>
  </si>
  <si>
    <t>US-2026-100111</t>
  </si>
  <si>
    <t>Seth Vernon</t>
  </si>
  <si>
    <t>Adams Phone Message Book, 200 Message Capacity, 8 1/16” x 11”</t>
  </si>
  <si>
    <t>US-2026-166436</t>
  </si>
  <si>
    <t>Todd Sumrall</t>
  </si>
  <si>
    <t>US-2023-133592</t>
  </si>
  <si>
    <t>Katherine Murray</t>
  </si>
  <si>
    <t>Sauder Inglewood Library Bookcases</t>
  </si>
  <si>
    <t>US-2023-111934</t>
  </si>
  <si>
    <t>Giulietta Dortch</t>
  </si>
  <si>
    <t>US-2024-163965</t>
  </si>
  <si>
    <t>Sung Shariari</t>
  </si>
  <si>
    <t>Ibico Laser Imprintable Binding System Covers</t>
  </si>
  <si>
    <t>US-2026-156776</t>
  </si>
  <si>
    <t>Jeremy Lonsdale</t>
  </si>
  <si>
    <t>Mead 1st Gear 2" Zipper Binder, Asst. Colors</t>
  </si>
  <si>
    <t>US-2026-106663</t>
  </si>
  <si>
    <t>Meg O'Connel</t>
  </si>
  <si>
    <t>Chromcraft Bull-Nose Wood Round Conference Table Top, Wood Base</t>
  </si>
  <si>
    <t>US-2026-112487</t>
  </si>
  <si>
    <t>Tracy Collins</t>
  </si>
  <si>
    <t>Acco Economy Flexible Poly Round Ring Binder</t>
  </si>
  <si>
    <t>US-2025-141397</t>
  </si>
  <si>
    <t>Roy Collins</t>
  </si>
  <si>
    <t>Hon Valutask Swivel Chairs</t>
  </si>
  <si>
    <t>Belkin 6 Outlet Metallic Surge Strip</t>
  </si>
  <si>
    <t>US-2024-128608</t>
  </si>
  <si>
    <t>Cindy Schnelling</t>
  </si>
  <si>
    <t>US-2026-138618</t>
  </si>
  <si>
    <t>Maribeth Yedwab</t>
  </si>
  <si>
    <t>Xerox 201</t>
  </si>
  <si>
    <t>US-2026-117457</t>
  </si>
  <si>
    <t>Self-Adhesive Removable Labels</t>
  </si>
  <si>
    <t>US-2024-102016</t>
  </si>
  <si>
    <t>Tamara Manning</t>
  </si>
  <si>
    <t>OIC Binder Clips, Mini, 1/4" Capacity, Black</t>
  </si>
  <si>
    <t>US-2026-122035</t>
  </si>
  <si>
    <t>Elizabeth Moffitt</t>
  </si>
  <si>
    <t>Avery 497</t>
  </si>
  <si>
    <t>US-2026-163209</t>
  </si>
  <si>
    <t>Mike Kennedy</t>
  </si>
  <si>
    <t>Xerox 2</t>
  </si>
  <si>
    <t>US-2023-162992</t>
  </si>
  <si>
    <t>Bart Pistole</t>
  </si>
  <si>
    <t>Avery 516</t>
  </si>
  <si>
    <t>US-2024-126214</t>
  </si>
  <si>
    <t>John Stevenson</t>
  </si>
  <si>
    <t>Enermax Acrylux Wireless Keyboard</t>
  </si>
  <si>
    <t>US-2023-156433</t>
  </si>
  <si>
    <t>Erica Smith</t>
  </si>
  <si>
    <t>Wirebound Message Book, 4 per Page</t>
  </si>
  <si>
    <t>US-2025-125318</t>
  </si>
  <si>
    <t>Cisco Small Business SPA 502G VoIP phone</t>
  </si>
  <si>
    <t>US-2023-128622</t>
  </si>
  <si>
    <t>Acme Value Line Scissors</t>
  </si>
  <si>
    <t>CA-2024-112224</t>
  </si>
  <si>
    <t>Neil Cohen</t>
  </si>
  <si>
    <t>Deflect-o SuperTray Unbreakable Stackable Tray, Letter, Black</t>
  </si>
  <si>
    <t>US-2025-109666</t>
  </si>
  <si>
    <t>Kunst Miller</t>
  </si>
  <si>
    <t>Gear Head AU3700S Headset</t>
  </si>
  <si>
    <t>US-2026-144491</t>
  </si>
  <si>
    <t>Caroline Jumper</t>
  </si>
  <si>
    <t>Kensington SlimBlade Notebook Wireless Mouse with Nano Receiver</t>
  </si>
  <si>
    <t>US-2025-168620</t>
  </si>
  <si>
    <t>Microsoft Sculpt Comfort Mouse</t>
  </si>
  <si>
    <t>US-2024-163181</t>
  </si>
  <si>
    <t>Adrian Barton</t>
  </si>
  <si>
    <t>Tenex Chairmats For Use with Hard Floors</t>
  </si>
  <si>
    <t>US-2025-120803</t>
  </si>
  <si>
    <t>Rick Bensley</t>
  </si>
  <si>
    <t>US-2024-153374</t>
  </si>
  <si>
    <t>Logitech Wireless Headset h800</t>
  </si>
  <si>
    <t>Howard Miller 13-3/4" Diameter Brushed Chrome Round Wall Clock</t>
  </si>
  <si>
    <t>US-2024-148635</t>
  </si>
  <si>
    <t>Michelle Huthwaite</t>
  </si>
  <si>
    <t>Xerox 228</t>
  </si>
  <si>
    <t>US-2023-108189</t>
  </si>
  <si>
    <t>Erin Smith</t>
  </si>
  <si>
    <t>Staples</t>
  </si>
  <si>
    <t>US-2026-166233</t>
  </si>
  <si>
    <t>Michael Oakman</t>
  </si>
  <si>
    <t>Imation 8gb Micro Traveldrive Usb 2.0 Flash Drive</t>
  </si>
  <si>
    <t>US-2026-104647</t>
  </si>
  <si>
    <t>Clytie Kelty</t>
  </si>
  <si>
    <t>Ampad Phone Message Book, Recycled, 400 Message Capacity, 5 ¾” x 11”</t>
  </si>
  <si>
    <t>US-2025-110156</t>
  </si>
  <si>
    <t>Eric Hoffmann</t>
  </si>
  <si>
    <t>invisibleSHIELD by ZAGG Smudge-Free Screen Protector</t>
  </si>
  <si>
    <t>US-2024-118738</t>
  </si>
  <si>
    <t>KI Conference Tables</t>
  </si>
  <si>
    <t>Avery Metallic Poly Binders</t>
  </si>
  <si>
    <t>US-2024-119312</t>
  </si>
  <si>
    <t>Eldon ProFile File 'N Store Portable File Tub Letter/Legal Size Black</t>
  </si>
  <si>
    <t>US-2024-150770</t>
  </si>
  <si>
    <t>Lena Cacioppo</t>
  </si>
  <si>
    <t>GBC Linen Binding Covers</t>
  </si>
  <si>
    <t>US-2024-161991</t>
  </si>
  <si>
    <t>Steven Cartwright</t>
  </si>
  <si>
    <t>Round Ring Binders</t>
  </si>
  <si>
    <t>US-2026-157966</t>
  </si>
  <si>
    <t>Xerox 1993</t>
  </si>
  <si>
    <t>US-2024-150875</t>
  </si>
  <si>
    <t>Heather Kirkland</t>
  </si>
  <si>
    <t>US-2026-105480</t>
  </si>
  <si>
    <t>Dean Katz</t>
  </si>
  <si>
    <t>Xerox 227</t>
  </si>
  <si>
    <t>US-2024-130995</t>
  </si>
  <si>
    <t>Quincy Jones</t>
  </si>
  <si>
    <t>Cush Cases Heavy Duty Rugged Cover Case for Samsung Galaxy S5 - Purple</t>
  </si>
  <si>
    <t>US-2023-128524</t>
  </si>
  <si>
    <t>Mary Zewe</t>
  </si>
  <si>
    <t>US-2024-113145</t>
  </si>
  <si>
    <t>Valerie Dominguez</t>
  </si>
  <si>
    <t>Xblue XB-1670-86 X16 Small Office Telephone - Titanium</t>
  </si>
  <si>
    <t>US-2023-169390</t>
  </si>
  <si>
    <t>Chris Selesnick</t>
  </si>
  <si>
    <t>Acco Perma 4000 Stacking Storage Drawers</t>
  </si>
  <si>
    <t>US-2025-158155</t>
  </si>
  <si>
    <t>Edward Hooks</t>
  </si>
  <si>
    <t>Vinyl Sectional Post Binders</t>
  </si>
  <si>
    <t>US-2026-118941</t>
  </si>
  <si>
    <t>Brenda Bowman</t>
  </si>
  <si>
    <t>Newell 312</t>
  </si>
  <si>
    <t>US-2024-149713</t>
  </si>
  <si>
    <t>Trudy Glocke</t>
  </si>
  <si>
    <t>Cardinal Holdit Business Card Pockets</t>
  </si>
  <si>
    <t>US-2025-156748</t>
  </si>
  <si>
    <t>US-2025-163328</t>
  </si>
  <si>
    <t>Tracy Poddar</t>
  </si>
  <si>
    <t>Dot Matrix Printer Tape Reel Labels, White, 5000/Box</t>
  </si>
  <si>
    <t>US-2023-165379</t>
  </si>
  <si>
    <t>Xerox 1895</t>
  </si>
  <si>
    <t>US-2024-153906</t>
  </si>
  <si>
    <t>Michael Stewart</t>
  </si>
  <si>
    <t>Plantronics MX500i Earset</t>
  </si>
  <si>
    <t>US-2023-102295</t>
  </si>
  <si>
    <t>Erica Hackney</t>
  </si>
  <si>
    <t>Global Leather &amp; Oak Executive Chair, Burgundy</t>
  </si>
  <si>
    <t>US-2026-147844</t>
  </si>
  <si>
    <t>Dorothy Dickinson</t>
  </si>
  <si>
    <t>US-2026-124828</t>
  </si>
  <si>
    <t>4009 Highlighters by Sanford</t>
  </si>
  <si>
    <t>US-2023-100916</t>
  </si>
  <si>
    <t>Frank Hawley</t>
  </si>
  <si>
    <t>SANFORD Liquid Accent Tank-Style Highlighters</t>
  </si>
  <si>
    <t>US-2025-163951</t>
  </si>
  <si>
    <t>Carl Jackson</t>
  </si>
  <si>
    <t>Newell 31</t>
  </si>
  <si>
    <t>US-2023-104283</t>
  </si>
  <si>
    <t>Liz MacKendrick</t>
  </si>
  <si>
    <t>Sony Micro Vault Click 16 GB USB 2.0 Flash Drive</t>
  </si>
  <si>
    <t>US-2024-155306</t>
  </si>
  <si>
    <t>George Ashbrook</t>
  </si>
  <si>
    <t>Hoover Upright Vacuum With Dirt Cup</t>
  </si>
  <si>
    <t>US-2026-149076</t>
  </si>
  <si>
    <t>Sean O'Donnell</t>
  </si>
  <si>
    <t>Xerox 19</t>
  </si>
  <si>
    <t>US-2024-159380</t>
  </si>
  <si>
    <t>Xerox 1962</t>
  </si>
  <si>
    <t>US-2025-129280</t>
  </si>
  <si>
    <t>Susan MacKendrick</t>
  </si>
  <si>
    <t>US-2025-123932</t>
  </si>
  <si>
    <t>Yoseph Carroll</t>
  </si>
  <si>
    <t>Advantus Motivational Note Cards</t>
  </si>
  <si>
    <t>US-2024-163433</t>
  </si>
  <si>
    <t>Michael Paige</t>
  </si>
  <si>
    <t>Lunatik TT5L-002 Taktik Strike Impact Protection System for iPhone 5</t>
  </si>
  <si>
    <t>US-2025-152170</t>
  </si>
  <si>
    <t>Belkin F9H710-06 7 Outlet SurgeMaster Surge Protector</t>
  </si>
  <si>
    <t>US-2026-129294</t>
  </si>
  <si>
    <t>Ken Dana</t>
  </si>
  <si>
    <t>Bionaire Personal Warm Mist Humidifier/Vaporizer</t>
  </si>
  <si>
    <t>US-2023-115189</t>
  </si>
  <si>
    <t>Alex Russell</t>
  </si>
  <si>
    <t>ClearSounds CSC500 Amplified Spirit Phone Corded phone</t>
  </si>
  <si>
    <t>US-2026-150504</t>
  </si>
  <si>
    <t>Harry Greene</t>
  </si>
  <si>
    <t>SimpliFile Personal File, Black Granite, 15w x 6-15/16d x 11-1/4h</t>
  </si>
  <si>
    <t>US-2025-151372</t>
  </si>
  <si>
    <t>Joseph Holt</t>
  </si>
  <si>
    <t>Angle-D Binders with Locking Rings, Label Holders</t>
  </si>
  <si>
    <t>US-2026-161935</t>
  </si>
  <si>
    <t>Samsung Galaxy S III - 16GB - pebble blue (T-Mobile)</t>
  </si>
  <si>
    <t>US-2024-149629</t>
  </si>
  <si>
    <t>Bush Westfield Collection Bookcases, Medium Cherry Finish</t>
  </si>
  <si>
    <t>US-2023-133851</t>
  </si>
  <si>
    <t>Chuck Magee</t>
  </si>
  <si>
    <t>Staple remover</t>
  </si>
  <si>
    <t>US-2026-132976</t>
  </si>
  <si>
    <t>Eldon Simplefile Box Office</t>
  </si>
  <si>
    <t>US-2023-156160</t>
  </si>
  <si>
    <t>Adam Shillingsburg</t>
  </si>
  <si>
    <t>US-2025-120824</t>
  </si>
  <si>
    <t>Arthur Wiediger</t>
  </si>
  <si>
    <t>Staple magnet</t>
  </si>
  <si>
    <t>US-2026-165603</t>
  </si>
  <si>
    <t>Saphhira Shifley</t>
  </si>
  <si>
    <t>2300 Heavy-Duty Transfer File Systems by Perma</t>
  </si>
  <si>
    <t>US-2025-156265</t>
  </si>
  <si>
    <t>Barry Französisch</t>
  </si>
  <si>
    <t>XtraLife ClearVue Slant-D Ring Binders by Cardinal</t>
  </si>
  <si>
    <t>US-2024-126753</t>
  </si>
  <si>
    <t>Sung Pak</t>
  </si>
  <si>
    <t>US-2025-100244</t>
  </si>
  <si>
    <t>Greg Maxwell</t>
  </si>
  <si>
    <t>Fellowes PB200 Plastic Comb Binding Machine</t>
  </si>
  <si>
    <t>US-2026-127705</t>
  </si>
  <si>
    <t>Alejandro Ballentine</t>
  </si>
  <si>
    <t>US-2025-120180</t>
  </si>
  <si>
    <t>Acme Stainless Steel Office Snips</t>
  </si>
  <si>
    <t>US-2024-152527</t>
  </si>
  <si>
    <t>Charlotte Melton</t>
  </si>
  <si>
    <t>Eldon Base for stackable storage shelf, platinum</t>
  </si>
  <si>
    <t>US-2026-106103</t>
  </si>
  <si>
    <t>Sean Christensen</t>
  </si>
  <si>
    <t>Imation 16GB Mini TravelDrive USB 2.0 Flash Drive</t>
  </si>
  <si>
    <t>US-2026-107748</t>
  </si>
  <si>
    <t>Alex Grayson</t>
  </si>
  <si>
    <t>Xerox 225</t>
  </si>
  <si>
    <t>US-2026-150189</t>
  </si>
  <si>
    <t>Vivek Gonzalez</t>
  </si>
  <si>
    <t>Avery 485</t>
  </si>
  <si>
    <t>US-2026-126536</t>
  </si>
  <si>
    <t>Neil Knudson</t>
  </si>
  <si>
    <t>US-2026-122175</t>
  </si>
  <si>
    <t>Cynthia Arntzen</t>
  </si>
  <si>
    <t>Acme Titanium Bonded Scissors</t>
  </si>
  <si>
    <t>US-2026-167871</t>
  </si>
  <si>
    <t>Art Ferguson</t>
  </si>
  <si>
    <t>US-2026-101840</t>
  </si>
  <si>
    <t>Sibella Parks</t>
  </si>
  <si>
    <t>Grandstream GXP1160 VoIP phone</t>
  </si>
  <si>
    <t>US-2023-166744</t>
  </si>
  <si>
    <t>Duane Noonan</t>
  </si>
  <si>
    <t>O'Sullivan Living Dimensions 2-Shelf Bookcases</t>
  </si>
  <si>
    <t>US-2024-100573</t>
  </si>
  <si>
    <t>Anne McFarland</t>
  </si>
  <si>
    <t>#10- 4 1/8" x 9 1/2" Recycled Envelopes</t>
  </si>
  <si>
    <t>US-2026-108343</t>
  </si>
  <si>
    <t>Anthony Rawles</t>
  </si>
  <si>
    <t>Tenex B1-RE Series Chair Mats for Low Pile Carpets</t>
  </si>
  <si>
    <t>US-2023-116407</t>
  </si>
  <si>
    <t>Jamie Frazer</t>
  </si>
  <si>
    <t>1.7 Cubic Foot Compact "Cube" Office Refrigerators</t>
  </si>
  <si>
    <t>US-2025-123750</t>
  </si>
  <si>
    <t>Imation Secure+ Hardware Encrypted USB 2.0 Flash Drive; 16GB</t>
  </si>
  <si>
    <t>US-2026-121678</t>
  </si>
  <si>
    <t>Prestige Round Ring Binders</t>
  </si>
  <si>
    <t>US-2023-104563</t>
  </si>
  <si>
    <t>Craig Molinari</t>
  </si>
  <si>
    <t>Newell Chalk Holder</t>
  </si>
  <si>
    <t>US-2025-114013</t>
  </si>
  <si>
    <t>US-2026-108791</t>
  </si>
  <si>
    <t>Tony Molinari</t>
  </si>
  <si>
    <t>Nortel Networks T7316 E Nt8 B27</t>
  </si>
  <si>
    <t>US-2026-125451</t>
  </si>
  <si>
    <t>Adam Hart</t>
  </si>
  <si>
    <t>Eldon 400 Class Desk Accessories, Black Carbon</t>
  </si>
  <si>
    <t>US-2026-118731</t>
  </si>
  <si>
    <t>Liz Pelletier</t>
  </si>
  <si>
    <t>GBC Prepunched Paper, 19-Hole, for Binding Systems, 24-lb</t>
  </si>
  <si>
    <t>US-2026-109085</t>
  </si>
  <si>
    <t>Christine Kargatis</t>
  </si>
  <si>
    <t>Vtech CS6719</t>
  </si>
  <si>
    <t>CA-2025-155586</t>
  </si>
  <si>
    <t>Peel &amp; Seel Envelopes</t>
  </si>
  <si>
    <t>US-2023-150490</t>
  </si>
  <si>
    <t>Akro Stacking Bins</t>
  </si>
  <si>
    <t>US-2026-157987</t>
  </si>
  <si>
    <t>Ann Chong</t>
  </si>
  <si>
    <t>US-2023-105249</t>
  </si>
  <si>
    <t>Duane Huffman</t>
  </si>
  <si>
    <t>Avery 489</t>
  </si>
  <si>
    <t>US-2026-122735</t>
  </si>
  <si>
    <t>Bill Donatelli</t>
  </si>
  <si>
    <t>Storex Dura Pro Binders</t>
  </si>
  <si>
    <t>Newell 32</t>
  </si>
  <si>
    <t>US-2025-112697</t>
  </si>
  <si>
    <t>Alan Haines</t>
  </si>
  <si>
    <t>GBC VeloBinder Electric Binding Machine</t>
  </si>
  <si>
    <t>US-2025-158575</t>
  </si>
  <si>
    <t>Sean Braxton</t>
  </si>
  <si>
    <t>Holmes 99% HEPA Air Purifier</t>
  </si>
  <si>
    <t>US-2024-135853</t>
  </si>
  <si>
    <t>US-2024-162887</t>
  </si>
  <si>
    <t>Safco Contoured Stacking Chairs</t>
  </si>
  <si>
    <t>US-2025-155565</t>
  </si>
  <si>
    <t>Fiskars Softgrip Scissors</t>
  </si>
  <si>
    <t>US-2026-135860</t>
  </si>
  <si>
    <t>Tennsco Lockers, Gray</t>
  </si>
  <si>
    <t>US-2025-154235</t>
  </si>
  <si>
    <t>Ruben Dartt</t>
  </si>
  <si>
    <t>Deflect-o DuraMat Lighweight, Studded, Beveled Mat for Low Pile Carpeting</t>
  </si>
  <si>
    <t>US-2024-142993</t>
  </si>
  <si>
    <t>Kelly Andreada</t>
  </si>
  <si>
    <t>Contico 72"H Heavy-Duty Storage System</t>
  </si>
  <si>
    <t>US-2023-115791</t>
  </si>
  <si>
    <t>Delfina Latchford</t>
  </si>
  <si>
    <t>Round Specialty Laser Printer Labels</t>
  </si>
  <si>
    <t>US-2024-125234</t>
  </si>
  <si>
    <t>Steve Nguyen</t>
  </si>
  <si>
    <t>Sony 64GB Class 10 Micro SDHC R40 Memory Card</t>
  </si>
  <si>
    <t>US-2025-118514</t>
  </si>
  <si>
    <t>US-2023-150798</t>
  </si>
  <si>
    <t>Master Caster Door Stop, Brown</t>
  </si>
  <si>
    <t>US-2023-143168</t>
  </si>
  <si>
    <t>Ivan Gibson</t>
  </si>
  <si>
    <t>Computer Printout Index Tabs</t>
  </si>
  <si>
    <t>US-2026-132444</t>
  </si>
  <si>
    <t>Christina DeMoss</t>
  </si>
  <si>
    <t>Wilson Jones 1" Hanging DublLock Ring Binders</t>
  </si>
  <si>
    <t>US-2025-118178</t>
  </si>
  <si>
    <t>Corey Catlett</t>
  </si>
  <si>
    <t>Ibico Recycled Grain-Textured Covers</t>
  </si>
  <si>
    <t>US-2025-139934</t>
  </si>
  <si>
    <t>Andy Yotov</t>
  </si>
  <si>
    <t>I Need's 3d Hello Kitty Hybrid Silicone Case Cover for HTC One X 4g with 3d Hello Kitty Stylus Pen Green/pink</t>
  </si>
  <si>
    <t>US-2024-114741</t>
  </si>
  <si>
    <t>Ivan Liston</t>
  </si>
  <si>
    <t>Xerox 20</t>
  </si>
  <si>
    <t>US-2023-110849</t>
  </si>
  <si>
    <t>Ativa MDM8000 8-Sheet Micro-Cut Shredder</t>
  </si>
  <si>
    <t>US-2026-130148</t>
  </si>
  <si>
    <t>US-2024-156510</t>
  </si>
  <si>
    <t>Xerox Color Copier Paper, 11" x 17", Ream</t>
  </si>
  <si>
    <t>CA-2026-115238</t>
  </si>
  <si>
    <t>Eldon 200 Class Desk Accessories, Burgundy</t>
  </si>
  <si>
    <t>Hoover Shoulder Vac Commercial Portable Vacuum</t>
  </si>
  <si>
    <t>US-2024-122406</t>
  </si>
  <si>
    <t>Brad Eason</t>
  </si>
  <si>
    <t>US-2026-165757</t>
  </si>
  <si>
    <t>Paul Lucas</t>
  </si>
  <si>
    <t>Plastic Stacking Crates &amp; Casters</t>
  </si>
  <si>
    <t>US-2024-107944</t>
  </si>
  <si>
    <t>Alice McCarthy</t>
  </si>
  <si>
    <t>Logitech G600 MMO Gaming Mouse</t>
  </si>
  <si>
    <t>US-2026-143378</t>
  </si>
  <si>
    <t>Justin Ritter</t>
  </si>
  <si>
    <t>O'Sullivan 4-Shelf Bookcase in Odessa Pine</t>
  </si>
  <si>
    <t>US-2023-124737</t>
  </si>
  <si>
    <t>Arthur Prichep</t>
  </si>
  <si>
    <t>Xerox 1976</t>
  </si>
  <si>
    <t>US-2026-147207</t>
  </si>
  <si>
    <t>Trudy Schmidt</t>
  </si>
  <si>
    <t>Hoover Commercial SteamVac</t>
  </si>
  <si>
    <t>US-2026-116897</t>
  </si>
  <si>
    <t>James Galang</t>
  </si>
  <si>
    <t>Nokia Lumia 925</t>
  </si>
  <si>
    <t>US-2023-100972</t>
  </si>
  <si>
    <t>Dennis Bolton</t>
  </si>
  <si>
    <t>Xerox 1888</t>
  </si>
  <si>
    <t>US-2025-106621</t>
  </si>
  <si>
    <t>Dario Medina</t>
  </si>
  <si>
    <t>Newell 351</t>
  </si>
  <si>
    <t>US-2023-116785</t>
  </si>
  <si>
    <t>Newell 347</t>
  </si>
  <si>
    <t>US-2024-106187</t>
  </si>
  <si>
    <t>Randy Ferguson</t>
  </si>
  <si>
    <t>US-2026-133361</t>
  </si>
  <si>
    <t>Office Star - Contemporary Task Swivel chair with Loop Arms, Charcoal</t>
  </si>
  <si>
    <t>US-2023-130813</t>
  </si>
  <si>
    <t>Lycoris Saunders</t>
  </si>
  <si>
    <t>US-2026-118542</t>
  </si>
  <si>
    <t>Clay Cheatham</t>
  </si>
  <si>
    <t>Xerox 1905</t>
  </si>
  <si>
    <t>US-2026-162670</t>
  </si>
  <si>
    <t>Monica Federle</t>
  </si>
  <si>
    <t>Tyvek Interoffice Envelopes, 9 1/2" x 12 1/2", 100/Box</t>
  </si>
  <si>
    <t>US-2023-140662</t>
  </si>
  <si>
    <t>Thomas Seio</t>
  </si>
  <si>
    <t>Xerox 1941</t>
  </si>
  <si>
    <t>US-2026-126053</t>
  </si>
  <si>
    <t>Carlos Soltero</t>
  </si>
  <si>
    <t>Magnifier Swing Arm Lamp</t>
  </si>
  <si>
    <t>US-2025-158841</t>
  </si>
  <si>
    <t>Sanjit Engle</t>
  </si>
  <si>
    <t>HP Designjet T520 Inkjet Large Format Printer - 24" Color</t>
  </si>
  <si>
    <t>US-2024-163090</t>
  </si>
  <si>
    <t>Greg Hansen</t>
  </si>
  <si>
    <t>Acme Box Cutter Scissors</t>
  </si>
  <si>
    <t>US-2023-111451</t>
  </si>
  <si>
    <t>Kelly Lampkin</t>
  </si>
  <si>
    <t>Eldon ClusterMat Chair Mat with Cordless Antistatic Protection</t>
  </si>
  <si>
    <t>US-2025-161396</t>
  </si>
  <si>
    <t>Bush Andora Conference Table, Maple/Graphite Gray Finish</t>
  </si>
  <si>
    <t>US-2026-140585</t>
  </si>
  <si>
    <t>Russell Applegate</t>
  </si>
  <si>
    <t>Logitech Illuminated - Keyboard</t>
  </si>
  <si>
    <t>Lookup Tables</t>
  </si>
  <si>
    <t>Regional Manager</t>
  </si>
  <si>
    <t>Returned</t>
  </si>
  <si>
    <t>Discount from</t>
  </si>
  <si>
    <t>Tier</t>
  </si>
  <si>
    <t>Sadie Pawthorne</t>
  </si>
  <si>
    <t>US-2023-100762</t>
  </si>
  <si>
    <t>Yes</t>
  </si>
  <si>
    <t>No discount</t>
  </si>
  <si>
    <t>US-2023-100867</t>
  </si>
  <si>
    <t>Low</t>
  </si>
  <si>
    <t>Roxanne Rodriguez</t>
  </si>
  <si>
    <t>US-2023-102652</t>
  </si>
  <si>
    <t>Medium</t>
  </si>
  <si>
    <t>Fred Suzuki</t>
  </si>
  <si>
    <t>US-2023-103373</t>
  </si>
  <si>
    <t>High</t>
  </si>
  <si>
    <t>US-2023-103744</t>
  </si>
  <si>
    <t>US-2023-104829</t>
  </si>
  <si>
    <t>US-2023-105270</t>
  </si>
  <si>
    <t>US-2023-108609</t>
  </si>
  <si>
    <t>US-2023-108861</t>
  </si>
  <si>
    <t>US-2023-109918</t>
  </si>
  <si>
    <t>US-2023-110786</t>
  </si>
  <si>
    <t>US-2023-111871</t>
  </si>
  <si>
    <t>US-2023-123225</t>
  </si>
  <si>
    <t>US-2023-123253</t>
  </si>
  <si>
    <t>US-2023-123498</t>
  </si>
  <si>
    <t>US-2023-124688</t>
  </si>
  <si>
    <t>US-2023-126361</t>
  </si>
  <si>
    <t>US-2023-126403</t>
  </si>
  <si>
    <t>US-2023-126522</t>
  </si>
  <si>
    <t>US-2023-127012</t>
  </si>
  <si>
    <t>US-2023-127131</t>
  </si>
  <si>
    <t>US-2023-133690</t>
  </si>
  <si>
    <t>US-2023-134726</t>
  </si>
  <si>
    <t>US-2023-135657</t>
  </si>
  <si>
    <t>US-2023-135699</t>
  </si>
  <si>
    <t>US-2023-140816</t>
  </si>
  <si>
    <t>US-2023-141726</t>
  </si>
  <si>
    <t>US-2023-143336</t>
  </si>
  <si>
    <t>US-2023-143840</t>
  </si>
  <si>
    <t>US-2023-148614</t>
  </si>
  <si>
    <t>US-2023-148950</t>
  </si>
  <si>
    <t>US-2023-151162</t>
  </si>
  <si>
    <t>US-2023-152345</t>
  </si>
  <si>
    <t>US-2023-153150</t>
  </si>
  <si>
    <t>US-2023-156349</t>
  </si>
  <si>
    <t>US-2023-157924</t>
  </si>
  <si>
    <t>US-2023-159338</t>
  </si>
  <si>
    <t>US-2023-160766</t>
  </si>
  <si>
    <t>US-2023-160773</t>
  </si>
  <si>
    <t>US-2023-164721</t>
  </si>
  <si>
    <t>US-2023-164861</t>
  </si>
  <si>
    <t>US-2023-169019</t>
  </si>
  <si>
    <t>US-2024-101910</t>
  </si>
  <si>
    <t>US-2024-103716</t>
  </si>
  <si>
    <t>US-2024-104129</t>
  </si>
  <si>
    <t>US-2024-105158</t>
  </si>
  <si>
    <t>US-2024-107678</t>
  </si>
  <si>
    <t>US-2024-109736</t>
  </si>
  <si>
    <t>US-2024-110814</t>
  </si>
  <si>
    <t>US-2024-111948</t>
  </si>
  <si>
    <t>US-2024-112144</t>
  </si>
  <si>
    <t>US-2024-113628</t>
  </si>
  <si>
    <t>US-2024-114048</t>
  </si>
  <si>
    <t>US-2024-116092</t>
  </si>
  <si>
    <t>US-2024-119214</t>
  </si>
  <si>
    <t>US-2024-119907</t>
  </si>
  <si>
    <t>US-2024-123568</t>
  </si>
  <si>
    <t>US-2024-124058</t>
  </si>
  <si>
    <t>US-2024-130456</t>
  </si>
  <si>
    <t>US-2024-130785</t>
  </si>
  <si>
    <t>US-2024-132374</t>
  </si>
  <si>
    <t>US-2024-132941</t>
  </si>
  <si>
    <t>US-2024-134075</t>
  </si>
  <si>
    <t>US-2024-134201</t>
  </si>
  <si>
    <t>US-2024-135580</t>
  </si>
  <si>
    <t>US-2024-138674</t>
  </si>
  <si>
    <t>US-2024-139731</t>
  </si>
  <si>
    <t>US-2024-140984</t>
  </si>
  <si>
    <t>US-2024-141593</t>
  </si>
  <si>
    <t>US-2024-142601</t>
  </si>
  <si>
    <t>US-2024-143238</t>
  </si>
  <si>
    <t>US-2024-143490</t>
  </si>
  <si>
    <t>US-2024-143602</t>
  </si>
  <si>
    <t>US-2024-144267</t>
  </si>
  <si>
    <t>US-2024-146255</t>
  </si>
  <si>
    <t>US-2024-146262</t>
  </si>
  <si>
    <t>US-2024-146486</t>
  </si>
  <si>
    <t>US-2024-148873</t>
  </si>
  <si>
    <t>US-2024-149342</t>
  </si>
  <si>
    <t>US-2024-149636</t>
  </si>
  <si>
    <t>US-2024-149650</t>
  </si>
  <si>
    <t>US-2024-151547</t>
  </si>
  <si>
    <t>US-2024-153220</t>
  </si>
  <si>
    <t>US-2024-154970</t>
  </si>
  <si>
    <t>US-2024-155761</t>
  </si>
  <si>
    <t>US-2024-156440</t>
  </si>
  <si>
    <t>US-2024-157812</t>
  </si>
  <si>
    <t>US-2024-161627</t>
  </si>
  <si>
    <t>US-2024-162166</t>
  </si>
  <si>
    <t>US-2024-164882</t>
  </si>
  <si>
    <t>US-2024-168480</t>
  </si>
  <si>
    <t>US-2024-168564</t>
  </si>
  <si>
    <t>US-2024-169397</t>
  </si>
  <si>
    <t>US-2025-104689</t>
  </si>
  <si>
    <t>US-2025-105081</t>
  </si>
  <si>
    <t>US-2025-105291</t>
  </si>
  <si>
    <t>US-2025-105585</t>
  </si>
  <si>
    <t>US-2025-106950</t>
  </si>
  <si>
    <t>US-2025-109806</t>
  </si>
  <si>
    <t>US-2025-109869</t>
  </si>
  <si>
    <t>US-2025-111682</t>
  </si>
  <si>
    <t>US-2025-112123</t>
  </si>
  <si>
    <t>US-2025-112340</t>
  </si>
  <si>
    <t>US-2025-113341</t>
  </si>
  <si>
    <t>US-2025-114307</t>
  </si>
  <si>
    <t>US-2025-114727</t>
  </si>
  <si>
    <t>US-2025-115917</t>
  </si>
  <si>
    <t>US-2025-116547</t>
  </si>
  <si>
    <t>US-2025-116736</t>
  </si>
  <si>
    <t>US-2025-118311</t>
  </si>
  <si>
    <t>US-2025-118500</t>
  </si>
  <si>
    <t>US-2025-118899</t>
  </si>
  <si>
    <t>US-2025-120873</t>
  </si>
  <si>
    <t>US-2025-123526</t>
  </si>
  <si>
    <t>US-2025-124527</t>
  </si>
  <si>
    <t>US-2025-126529</t>
  </si>
  <si>
    <t>US-2025-126732</t>
  </si>
  <si>
    <t>US-2025-128671</t>
  </si>
  <si>
    <t>US-2025-130477</t>
  </si>
  <si>
    <t>US-2025-130638</t>
  </si>
  <si>
    <t>US-2025-130680</t>
  </si>
  <si>
    <t>US-2025-133319</t>
  </si>
  <si>
    <t>US-2025-133802</t>
  </si>
  <si>
    <t>US-2025-134775</t>
  </si>
  <si>
    <t>US-2025-134803</t>
  </si>
  <si>
    <t>US-2025-136483</t>
  </si>
  <si>
    <t>US-2025-136924</t>
  </si>
  <si>
    <t>US-2025-138282</t>
  </si>
  <si>
    <t>US-2025-139269</t>
  </si>
  <si>
    <t>US-2025-142398</t>
  </si>
  <si>
    <t>US-2025-145261</t>
  </si>
  <si>
    <t>US-2025-145492</t>
  </si>
  <si>
    <t>US-2025-145583</t>
  </si>
  <si>
    <t>US-2025-145919</t>
  </si>
  <si>
    <t>US-2025-145982</t>
  </si>
  <si>
    <t>US-2025-147375</t>
  </si>
  <si>
    <t>US-2025-148796</t>
  </si>
  <si>
    <t>US-2025-150077</t>
  </si>
  <si>
    <t>US-2025-151323</t>
  </si>
  <si>
    <t>US-2025-152814</t>
  </si>
  <si>
    <t>US-2025-157280</t>
  </si>
  <si>
    <t>US-2025-159023</t>
  </si>
  <si>
    <t>US-2025-159212</t>
  </si>
  <si>
    <t>US-2025-159345</t>
  </si>
  <si>
    <t>US-2025-161746</t>
  </si>
  <si>
    <t>US-2025-162138</t>
  </si>
  <si>
    <t>US-2025-162159</t>
  </si>
  <si>
    <t>US-2025-165330</t>
  </si>
  <si>
    <t>US-2025-166275</t>
  </si>
  <si>
    <t>US-2025-167759</t>
  </si>
  <si>
    <t>US-2025-168921</t>
  </si>
  <si>
    <t>US-2026-101273</t>
  </si>
  <si>
    <t>US-2026-101574</t>
  </si>
  <si>
    <t>US-2026-101700</t>
  </si>
  <si>
    <t>US-2026-101805</t>
  </si>
  <si>
    <t>US-2026-103380</t>
  </si>
  <si>
    <t>US-2026-107825</t>
  </si>
  <si>
    <t>US-2026-108294</t>
  </si>
  <si>
    <t>US-2026-108931</t>
  </si>
  <si>
    <t>US-2026-111556</t>
  </si>
  <si>
    <t>US-2026-112725</t>
  </si>
  <si>
    <t>US-2026-112753</t>
  </si>
  <si>
    <t>US-2026-112865</t>
  </si>
  <si>
    <t>US-2026-113670</t>
  </si>
  <si>
    <t>US-2026-115427</t>
  </si>
  <si>
    <t>US-2026-115994</t>
  </si>
  <si>
    <t>US-2026-117212</t>
  </si>
  <si>
    <t>US-2026-117513</t>
  </si>
  <si>
    <t>US-2026-117926</t>
  </si>
  <si>
    <t>US-2026-118122</t>
  </si>
  <si>
    <t>US-2026-119284</t>
  </si>
  <si>
    <t>US-2026-121258</t>
  </si>
  <si>
    <t>US-2026-121853</t>
  </si>
  <si>
    <t>US-2026-122007</t>
  </si>
  <si>
    <t>US-2026-122504</t>
  </si>
  <si>
    <t>US-2026-123085</t>
  </si>
  <si>
    <t>US-2026-123491</t>
  </si>
  <si>
    <t>US-2026-124401</t>
  </si>
  <si>
    <t>US-2026-129707</t>
  </si>
  <si>
    <t>US-2026-131492</t>
  </si>
  <si>
    <t>US-2026-131618</t>
  </si>
  <si>
    <t>US-2026-131807</t>
  </si>
  <si>
    <t>US-2026-131828</t>
  </si>
  <si>
    <t>US-2026-132346</t>
  </si>
  <si>
    <t>US-2026-134194</t>
  </si>
  <si>
    <t>US-2026-135692</t>
  </si>
  <si>
    <t>US-2026-136308</t>
  </si>
  <si>
    <t>US-2026-136539</t>
  </si>
  <si>
    <t>US-2026-136651</t>
  </si>
  <si>
    <t>US-2026-137085</t>
  </si>
  <si>
    <t>US-2026-137099</t>
  </si>
  <si>
    <t>US-2026-137414</t>
  </si>
  <si>
    <t>US-2026-137428</t>
  </si>
  <si>
    <t>US-2026-138163</t>
  </si>
  <si>
    <t>US-2026-140053</t>
  </si>
  <si>
    <t>US-2026-140151</t>
  </si>
  <si>
    <t>US-2026-140186</t>
  </si>
  <si>
    <t>US-2026-140963</t>
  </si>
  <si>
    <t>US-2026-141929</t>
  </si>
  <si>
    <t>US-2026-142328</t>
  </si>
  <si>
    <t>US-2026-142342</t>
  </si>
  <si>
    <t>US-2026-142867</t>
  </si>
  <si>
    <t>US-2026-142888</t>
  </si>
  <si>
    <t>US-2026-143084</t>
  </si>
  <si>
    <t>US-2026-144064</t>
  </si>
  <si>
    <t>US-2026-145128</t>
  </si>
  <si>
    <t>US-2026-145772</t>
  </si>
  <si>
    <t>US-2026-150609</t>
  </si>
  <si>
    <t>US-2026-150910</t>
  </si>
  <si>
    <t>US-2026-152660</t>
  </si>
  <si>
    <t>US-2026-153822</t>
  </si>
  <si>
    <t>US-2026-154074</t>
  </si>
  <si>
    <t>US-2026-154214</t>
  </si>
  <si>
    <t>US-2026-154949</t>
  </si>
  <si>
    <t>US-2026-155712</t>
  </si>
  <si>
    <t>US-2026-156391</t>
  </si>
  <si>
    <t>US-2026-156958</t>
  </si>
  <si>
    <t>US-2026-157196</t>
  </si>
  <si>
    <t>US-2026-158729</t>
  </si>
  <si>
    <t>US-2026-159954</t>
  </si>
  <si>
    <t>US-2026-161459</t>
  </si>
  <si>
    <t>US-2026-161557</t>
  </si>
  <si>
    <t>US-2026-161956</t>
  </si>
  <si>
    <t>US-2026-162015</t>
  </si>
  <si>
    <t>US-2026-165008</t>
  </si>
  <si>
    <t>US-2026-165491</t>
  </si>
  <si>
    <t>US-2026-166093</t>
  </si>
  <si>
    <t>US-2026-166142</t>
  </si>
  <si>
    <t>US-2026-166898</t>
  </si>
  <si>
    <t>US-2026-167003</t>
  </si>
  <si>
    <t>US-2026-167395</t>
  </si>
  <si>
    <t>US-2026-168193</t>
  </si>
  <si>
    <t>US-2026-169859</t>
  </si>
  <si>
    <t>US-2026-169894</t>
  </si>
  <si>
    <t>US-2023-105137</t>
  </si>
  <si>
    <t>US-2023-138758</t>
  </si>
  <si>
    <t>US-2023-143287</t>
  </si>
  <si>
    <t>US-2023-150574</t>
  </si>
  <si>
    <t>US-2023-164406</t>
  </si>
  <si>
    <t>US-2023-164763</t>
  </si>
  <si>
    <t>US-2024-110569</t>
  </si>
  <si>
    <t>US-2024-128090</t>
  </si>
  <si>
    <t>US-2024-136749</t>
  </si>
  <si>
    <t>US-2024-137008</t>
  </si>
  <si>
    <t>US-2024-160857</t>
  </si>
  <si>
    <t>US-2025-105578</t>
  </si>
  <si>
    <t>US-2025-108455</t>
  </si>
  <si>
    <t>US-2025-111528</t>
  </si>
  <si>
    <t>US-2025-114230</t>
  </si>
  <si>
    <t>US-2025-114293</t>
  </si>
  <si>
    <t>US-2025-115952</t>
  </si>
  <si>
    <t>US-2025-119046</t>
  </si>
  <si>
    <t>US-2025-127425</t>
  </si>
  <si>
    <t>US-2025-131149</t>
  </si>
  <si>
    <t>US-2025-135720</t>
  </si>
  <si>
    <t>US-2025-140172</t>
  </si>
  <si>
    <t>US-2025-148957</t>
  </si>
  <si>
    <t>US-2025-151827</t>
  </si>
  <si>
    <t>US-2025-152051</t>
  </si>
  <si>
    <t>US-2025-156986</t>
  </si>
  <si>
    <t>US-2025-157490</t>
  </si>
  <si>
    <t>US-2026-103247</t>
  </si>
  <si>
    <t>US-2026-103828</t>
  </si>
  <si>
    <t>US-2026-105046</t>
  </si>
  <si>
    <t>US-2026-107888</t>
  </si>
  <si>
    <t>US-2026-109253</t>
  </si>
  <si>
    <t>US-2026-118087</t>
  </si>
  <si>
    <t>US-2026-123834</t>
  </si>
  <si>
    <t>US-2026-136679</t>
  </si>
  <si>
    <t>US-2026-147886</t>
  </si>
  <si>
    <t>US-2026-147998</t>
  </si>
  <si>
    <t>US-2026-151127</t>
  </si>
  <si>
    <t>US-2026-155999</t>
  </si>
  <si>
    <t>Lookup Functions: VLOOKUP, INDEX/MATCH, XLOOKUP</t>
  </si>
  <si>
    <t>Input</t>
  </si>
  <si>
    <t>Result</t>
  </si>
  <si>
    <t>1. VLOOKUP exact: was this order returned?</t>
  </si>
  <si>
    <t xml:space="preserve">   Same, order that was not returned</t>
  </si>
  <si>
    <t>2. VLOOKUP approximate: discount tier</t>
  </si>
  <si>
    <t>3. INDEX/MATCH: manager for a region</t>
  </si>
  <si>
    <t xml:space="preserve">   INDEX/MATCH: sales of an order</t>
  </si>
  <si>
    <t>Test</t>
  </si>
  <si>
    <t>Blank lookup cell</t>
  </si>
  <si>
    <t>Order ID that does not exist</t>
  </si>
  <si>
    <t>XX-0000-000000</t>
  </si>
  <si>
    <t>Extra space at the end of the ID</t>
  </si>
  <si>
    <t xml:space="preserve">US-2023-103940 </t>
  </si>
  <si>
    <t>Same input cleaned with TRIM</t>
  </si>
  <si>
    <t>IF, Nested IF, AND, OR, IFERROR</t>
  </si>
  <si>
    <t>Profit Status
IF (nested)</t>
  </si>
  <si>
    <t>Profit Margin
IF + divide</t>
  </si>
  <si>
    <t>Margin Grade
nested IF</t>
  </si>
  <si>
    <t>Risky Discount?
IF + AND</t>
  </si>
  <si>
    <t>Edge-case tests (blank cell and text vs number)</t>
  </si>
  <si>
    <t>Blank cell</t>
  </si>
  <si>
    <t>Number stored as text</t>
  </si>
  <si>
    <t>150</t>
  </si>
  <si>
    <t>Same text converted</t>
  </si>
  <si>
    <t>SUMIF vs SUMIFS, COUNTIF(S), AVERAGEIFS</t>
  </si>
  <si>
    <t>Region input</t>
  </si>
  <si>
    <t>Category input</t>
  </si>
  <si>
    <t>Sales greater than</t>
  </si>
  <si>
    <t>Question</t>
  </si>
  <si>
    <t>Note</t>
  </si>
  <si>
    <t>Sales in the region (SUMIF)</t>
  </si>
  <si>
    <t>One condition</t>
  </si>
  <si>
    <t>Sales in the region (SUMIFS)</t>
  </si>
  <si>
    <t>Same answer; SUMIFS puts the sum range FIRST</t>
  </si>
  <si>
    <t>Sales in region AND category (SUMIFS)</t>
  </si>
  <si>
    <t>Two conditions: only SUMIFS can do this</t>
  </si>
  <si>
    <t>Sales above a value (operator in criteria)</t>
  </si>
  <si>
    <t>Join the operator with &amp;</t>
  </si>
  <si>
    <t>Number of rows in the region (COUNTIF)</t>
  </si>
  <si>
    <t>Counts rows</t>
  </si>
  <si>
    <t>Rows in region AND category (COUNTIFS)</t>
  </si>
  <si>
    <t>Two conditions</t>
  </si>
  <si>
    <t>Loss-making rows in the region (COUNTIFS)</t>
  </si>
  <si>
    <t>Criteria with an operator</t>
  </si>
  <si>
    <t>Average discount, region and category (AVERAGEIFS)</t>
  </si>
  <si>
    <t>Average range comes first</t>
  </si>
  <si>
    <t>Check: SUMIF equals SUMIFS?</t>
  </si>
  <si>
    <t>Both formulas should agree for one condition</t>
  </si>
  <si>
    <t>Sales matrix: Region x Category (one SUMIFS copied across with mixed references)</t>
  </si>
  <si>
    <t>Total</t>
  </si>
  <si>
    <t>Check against SUM(Sales)</t>
  </si>
  <si>
    <t>0 means the matrix matches the data</t>
  </si>
  <si>
    <t>Text Functions</t>
  </si>
  <si>
    <t>LEFT
country code</t>
  </si>
  <si>
    <t>MID
year</t>
  </si>
  <si>
    <t>RIGHT
last 6 chars</t>
  </si>
  <si>
    <t>LEN
length</t>
  </si>
  <si>
    <t>FIND
position of space</t>
  </si>
  <si>
    <t>First Name
LEFT+FIND</t>
  </si>
  <si>
    <t>Last Name
MID+FIND</t>
  </si>
  <si>
    <t>UPPER</t>
  </si>
  <si>
    <t>Name - Order
&amp; join</t>
  </si>
  <si>
    <t>Order Date
TEXT</t>
  </si>
  <si>
    <t>Cleaning messy text: TRIM, PROPER, LOWER, SUBSTITUTE, CONCATENATE</t>
  </si>
  <si>
    <t>Messy input</t>
  </si>
  <si>
    <t>TRIM</t>
  </si>
  <si>
    <t>PROPER(TRIM)</t>
  </si>
  <si>
    <t>LOWER</t>
  </si>
  <si>
    <t>SUBSTITUTE
replace - with /</t>
  </si>
  <si>
    <t>CONCATENATE</t>
  </si>
  <si>
    <t xml:space="preserve">  aLiCe   smith  </t>
  </si>
  <si>
    <t>US-2023-103800</t>
  </si>
  <si>
    <t>Label a row like Profit or Loss, grades, flags</t>
  </si>
  <si>
    <t>Find an answer that is to the left of the lookup column</t>
  </si>
  <si>
    <t>Count rows that meet conditions</t>
  </si>
  <si>
    <t xml:space="preserve"> Edge-case tests</t>
  </si>
  <si>
    <t>SUMIF(Region, B3, Sales)</t>
  </si>
  <si>
    <t>SUMIFS(Sales, Region, B3)</t>
  </si>
  <si>
    <t>SUMIFS(Sales, Region, B3, Category, B4)</t>
  </si>
  <si>
    <t>SUMIFS(Sales, Sales, "&gt;"&amp;B5</t>
  </si>
  <si>
    <t>COUNTIF(Region, B3)</t>
  </si>
  <si>
    <t>COUNTIFS(Region, B3, Category, B4)</t>
  </si>
  <si>
    <t>COUNTIFS(Region, B3, Profit, "&lt;0")</t>
  </si>
  <si>
    <t>AVERAGEIFS(Discount, Region, B3, Category, B4)</t>
  </si>
  <si>
    <t>IF(ROUND(B8-B9,2)=0,"Yes","No")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</si>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</sst>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"/>
    <numFmt numFmtId="165" formatCode="#,##0.00;[Red]\-#,##0.00"/>
    <numFmt numFmtId="166" formatCode="0.0%"/>
  </numFmts>
  <fonts count="15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1F3A5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color rgb="FF1F3A5F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A8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 applyBorder="1" applyAlignment="1">
      <alignment vertical="top" wrapText="1"/>
    </xf>
    <xf numFmtId="0" fontId="5" fillId="0" borderId="0" xfId="0" applyFont="1"/>
    <xf numFmtId="0" fontId="7" fillId="0" borderId="0" xfId="0" applyFont="1"/>
    <xf numFmtId="164" fontId="7" fillId="0" borderId="0" xfId="0" applyNumberFormat="1" applyFont="1"/>
    <xf numFmtId="0" fontId="8" fillId="3" borderId="0" xfId="0" applyFont="1" applyFill="1"/>
    <xf numFmtId="0" fontId="4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9" fillId="0" borderId="0" xfId="0" applyFont="1"/>
    <xf numFmtId="9" fontId="5" fillId="0" borderId="0" xfId="0" applyNumberFormat="1" applyFont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/>
    <xf numFmtId="0" fontId="13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9" fontId="8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4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49" fontId="8" fillId="3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3" customWidth="1"/>
    <col min="3" max="3" width="20" customWidth="1"/>
    <col min="4" max="4" width="13" customWidth="1"/>
    <col min="5" max="5" width="10" customWidth="1"/>
    <col min="6" max="6" width="16" customWidth="1"/>
    <col min="7" max="7" width="14" customWidth="1"/>
    <col min="8" max="8" width="42" customWidth="1"/>
    <col min="9" max="9" width="11" customWidth="1"/>
    <col min="10" max="11" width="10" customWidth="1"/>
    <col min="12" max="12" width="11" customWidth="1"/>
  </cols>
  <sheetData>
    <row r="1" spans="1:12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</row>
    <row r="2" spans="1:12" x14ac:dyDescent="0.25">
      <c r="A2" s="8" t="s">
        <v>30</v>
      </c>
      <c r="B2" s="9">
        <v>46291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>
        <v>9.99</v>
      </c>
      <c r="J2" s="8">
        <v>1</v>
      </c>
      <c r="K2" s="8">
        <v>0</v>
      </c>
      <c r="L2" s="8">
        <v>4.4954999999999998</v>
      </c>
    </row>
    <row r="3" spans="1:12" x14ac:dyDescent="0.25">
      <c r="A3" s="8" t="s">
        <v>37</v>
      </c>
      <c r="B3" s="9">
        <v>45097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8" t="s">
        <v>43</v>
      </c>
      <c r="I3" s="8">
        <v>201.584</v>
      </c>
      <c r="J3" s="8">
        <v>2</v>
      </c>
      <c r="K3" s="8">
        <v>0.2</v>
      </c>
      <c r="L3" s="8">
        <v>20.1584</v>
      </c>
    </row>
    <row r="4" spans="1:12" x14ac:dyDescent="0.25">
      <c r="A4" s="8" t="s">
        <v>44</v>
      </c>
      <c r="B4" s="9">
        <v>45246</v>
      </c>
      <c r="C4" s="8" t="s">
        <v>45</v>
      </c>
      <c r="D4" s="8" t="s">
        <v>46</v>
      </c>
      <c r="E4" s="8" t="s">
        <v>40</v>
      </c>
      <c r="F4" s="8" t="s">
        <v>34</v>
      </c>
      <c r="G4" s="8" t="s">
        <v>47</v>
      </c>
      <c r="H4" s="8" t="s">
        <v>48</v>
      </c>
      <c r="I4" s="8">
        <v>169.45</v>
      </c>
      <c r="J4" s="8">
        <v>5</v>
      </c>
      <c r="K4" s="8">
        <v>0</v>
      </c>
      <c r="L4" s="8">
        <v>42.362499999999997</v>
      </c>
    </row>
    <row r="5" spans="1:12" x14ac:dyDescent="0.25">
      <c r="A5" s="8" t="s">
        <v>49</v>
      </c>
      <c r="B5" s="9">
        <v>45248</v>
      </c>
      <c r="C5" s="8" t="s">
        <v>50</v>
      </c>
      <c r="D5" s="8" t="s">
        <v>39</v>
      </c>
      <c r="E5" s="8" t="s">
        <v>40</v>
      </c>
      <c r="F5" s="8" t="s">
        <v>34</v>
      </c>
      <c r="G5" s="8" t="s">
        <v>47</v>
      </c>
      <c r="H5" s="8" t="s">
        <v>51</v>
      </c>
      <c r="I5" s="8">
        <v>381.72</v>
      </c>
      <c r="J5" s="8">
        <v>5</v>
      </c>
      <c r="K5" s="8">
        <v>0.2</v>
      </c>
      <c r="L5" s="8">
        <v>-66.801000000000002</v>
      </c>
    </row>
    <row r="6" spans="1:12" x14ac:dyDescent="0.25">
      <c r="A6" s="8" t="s">
        <v>52</v>
      </c>
      <c r="B6" s="9">
        <v>46192</v>
      </c>
      <c r="C6" s="8" t="s">
        <v>53</v>
      </c>
      <c r="D6" s="8" t="s">
        <v>39</v>
      </c>
      <c r="E6" s="8" t="s">
        <v>40</v>
      </c>
      <c r="F6" s="8" t="s">
        <v>34</v>
      </c>
      <c r="G6" s="8" t="s">
        <v>54</v>
      </c>
      <c r="H6" s="8" t="s">
        <v>55</v>
      </c>
      <c r="I6" s="8">
        <v>2.2639999999999998</v>
      </c>
      <c r="J6" s="8">
        <v>1</v>
      </c>
      <c r="K6" s="8">
        <v>0.8</v>
      </c>
      <c r="L6" s="8">
        <v>-5.2072000000000003</v>
      </c>
    </row>
    <row r="7" spans="1:12" x14ac:dyDescent="0.25">
      <c r="A7" s="8" t="s">
        <v>56</v>
      </c>
      <c r="B7" s="9">
        <v>46245</v>
      </c>
      <c r="C7" s="8" t="s">
        <v>57</v>
      </c>
      <c r="D7" s="8" t="s">
        <v>46</v>
      </c>
      <c r="E7" s="8" t="s">
        <v>58</v>
      </c>
      <c r="F7" s="8" t="s">
        <v>34</v>
      </c>
      <c r="G7" s="8" t="s">
        <v>59</v>
      </c>
      <c r="H7" s="8" t="s">
        <v>60</v>
      </c>
      <c r="I7" s="8">
        <v>477.51</v>
      </c>
      <c r="J7" s="8">
        <v>11</v>
      </c>
      <c r="K7" s="8">
        <v>0</v>
      </c>
      <c r="L7" s="8">
        <v>219.65459999999999</v>
      </c>
    </row>
    <row r="8" spans="1:12" x14ac:dyDescent="0.25">
      <c r="A8" s="8" t="s">
        <v>61</v>
      </c>
      <c r="B8" s="9">
        <v>45805</v>
      </c>
      <c r="C8" s="8" t="s">
        <v>62</v>
      </c>
      <c r="D8" s="8" t="s">
        <v>32</v>
      </c>
      <c r="E8" s="8" t="s">
        <v>58</v>
      </c>
      <c r="F8" s="8" t="s">
        <v>63</v>
      </c>
      <c r="G8" s="8" t="s">
        <v>64</v>
      </c>
      <c r="H8" s="8" t="s">
        <v>65</v>
      </c>
      <c r="I8" s="8">
        <v>390.27199999999999</v>
      </c>
      <c r="J8" s="8">
        <v>8</v>
      </c>
      <c r="K8" s="8">
        <v>0.2</v>
      </c>
      <c r="L8" s="8">
        <v>-24.391999999999999</v>
      </c>
    </row>
    <row r="9" spans="1:12" x14ac:dyDescent="0.25">
      <c r="A9" s="8" t="s">
        <v>66</v>
      </c>
      <c r="B9" s="9">
        <v>46199</v>
      </c>
      <c r="C9" s="8" t="s">
        <v>67</v>
      </c>
      <c r="D9" s="8" t="s">
        <v>32</v>
      </c>
      <c r="E9" s="8" t="s">
        <v>33</v>
      </c>
      <c r="F9" s="8" t="s">
        <v>34</v>
      </c>
      <c r="G9" s="8" t="s">
        <v>68</v>
      </c>
      <c r="H9" s="8" t="s">
        <v>69</v>
      </c>
      <c r="I9" s="8">
        <v>28.4</v>
      </c>
      <c r="J9" s="8">
        <v>5</v>
      </c>
      <c r="K9" s="8">
        <v>0</v>
      </c>
      <c r="L9" s="8">
        <v>8.2360000000000007</v>
      </c>
    </row>
    <row r="10" spans="1:12" x14ac:dyDescent="0.25">
      <c r="A10" s="8" t="s">
        <v>70</v>
      </c>
      <c r="B10" s="9">
        <v>45461</v>
      </c>
      <c r="C10" s="8" t="s">
        <v>71</v>
      </c>
      <c r="D10" s="8" t="s">
        <v>39</v>
      </c>
      <c r="E10" s="8" t="s">
        <v>58</v>
      </c>
      <c r="F10" s="8" t="s">
        <v>34</v>
      </c>
      <c r="G10" s="8" t="s">
        <v>59</v>
      </c>
      <c r="H10" s="8" t="s">
        <v>72</v>
      </c>
      <c r="I10" s="8">
        <v>34.6</v>
      </c>
      <c r="J10" s="8">
        <v>2</v>
      </c>
      <c r="K10" s="8">
        <v>0</v>
      </c>
      <c r="L10" s="8">
        <v>16.608000000000001</v>
      </c>
    </row>
    <row r="11" spans="1:12" x14ac:dyDescent="0.25">
      <c r="A11" s="8" t="s">
        <v>73</v>
      </c>
      <c r="B11" s="9">
        <v>45954</v>
      </c>
      <c r="C11" s="8" t="s">
        <v>74</v>
      </c>
      <c r="D11" s="8" t="s">
        <v>32</v>
      </c>
      <c r="E11" s="8" t="s">
        <v>75</v>
      </c>
      <c r="F11" s="8" t="s">
        <v>41</v>
      </c>
      <c r="G11" s="8" t="s">
        <v>76</v>
      </c>
      <c r="H11" s="8" t="s">
        <v>77</v>
      </c>
      <c r="I11" s="8">
        <v>100</v>
      </c>
      <c r="J11" s="8">
        <v>4</v>
      </c>
      <c r="K11" s="8">
        <v>0</v>
      </c>
      <c r="L11" s="8">
        <v>21</v>
      </c>
    </row>
    <row r="12" spans="1:12" x14ac:dyDescent="0.25">
      <c r="A12" s="8" t="s">
        <v>78</v>
      </c>
      <c r="B12" s="9">
        <v>46367</v>
      </c>
      <c r="C12" s="8" t="s">
        <v>79</v>
      </c>
      <c r="D12" s="8" t="s">
        <v>32</v>
      </c>
      <c r="E12" s="8" t="s">
        <v>40</v>
      </c>
      <c r="F12" s="8" t="s">
        <v>41</v>
      </c>
      <c r="G12" s="8" t="s">
        <v>76</v>
      </c>
      <c r="H12" s="8" t="s">
        <v>80</v>
      </c>
      <c r="I12" s="8">
        <v>116.312</v>
      </c>
      <c r="J12" s="8">
        <v>7</v>
      </c>
      <c r="K12" s="8">
        <v>0.2</v>
      </c>
      <c r="L12" s="8">
        <v>23.2624</v>
      </c>
    </row>
    <row r="13" spans="1:12" x14ac:dyDescent="0.25">
      <c r="A13" s="8" t="s">
        <v>81</v>
      </c>
      <c r="B13" s="9">
        <v>46366</v>
      </c>
      <c r="C13" s="8" t="s">
        <v>82</v>
      </c>
      <c r="D13" s="8" t="s">
        <v>46</v>
      </c>
      <c r="E13" s="8" t="s">
        <v>58</v>
      </c>
      <c r="F13" s="8" t="s">
        <v>41</v>
      </c>
      <c r="G13" s="8" t="s">
        <v>42</v>
      </c>
      <c r="H13" s="8" t="s">
        <v>83</v>
      </c>
      <c r="I13" s="8">
        <v>38.97</v>
      </c>
      <c r="J13" s="8">
        <v>3</v>
      </c>
      <c r="K13" s="8">
        <v>0</v>
      </c>
      <c r="L13" s="8">
        <v>0.77940000000000098</v>
      </c>
    </row>
    <row r="14" spans="1:12" x14ac:dyDescent="0.25">
      <c r="A14" s="8" t="s">
        <v>84</v>
      </c>
      <c r="B14" s="9">
        <v>46252</v>
      </c>
      <c r="C14" s="8" t="s">
        <v>85</v>
      </c>
      <c r="D14" s="8" t="s">
        <v>32</v>
      </c>
      <c r="E14" s="8" t="s">
        <v>75</v>
      </c>
      <c r="F14" s="8" t="s">
        <v>63</v>
      </c>
      <c r="G14" s="8" t="s">
        <v>86</v>
      </c>
      <c r="H14" s="8" t="s">
        <v>87</v>
      </c>
      <c r="I14" s="8">
        <v>65.94</v>
      </c>
      <c r="J14" s="8">
        <v>3</v>
      </c>
      <c r="K14" s="8">
        <v>0</v>
      </c>
      <c r="L14" s="8">
        <v>22.419599999999999</v>
      </c>
    </row>
    <row r="15" spans="1:12" x14ac:dyDescent="0.25">
      <c r="A15" s="8" t="s">
        <v>88</v>
      </c>
      <c r="B15" s="9">
        <v>46374</v>
      </c>
      <c r="C15" s="8" t="s">
        <v>89</v>
      </c>
      <c r="D15" s="8" t="s">
        <v>32</v>
      </c>
      <c r="E15" s="8" t="s">
        <v>40</v>
      </c>
      <c r="F15" s="8" t="s">
        <v>41</v>
      </c>
      <c r="G15" s="8" t="s">
        <v>76</v>
      </c>
      <c r="H15" s="8" t="s">
        <v>90</v>
      </c>
      <c r="I15" s="8">
        <v>29.34</v>
      </c>
      <c r="J15" s="8">
        <v>3</v>
      </c>
      <c r="K15" s="8">
        <v>0</v>
      </c>
      <c r="L15" s="8">
        <v>10.8558</v>
      </c>
    </row>
    <row r="16" spans="1:12" x14ac:dyDescent="0.25">
      <c r="A16" s="8" t="s">
        <v>91</v>
      </c>
      <c r="B16" s="9">
        <v>46325</v>
      </c>
      <c r="C16" s="8" t="s">
        <v>92</v>
      </c>
      <c r="D16" s="8" t="s">
        <v>39</v>
      </c>
      <c r="E16" s="8" t="s">
        <v>33</v>
      </c>
      <c r="F16" s="8" t="s">
        <v>34</v>
      </c>
      <c r="G16" s="8" t="s">
        <v>47</v>
      </c>
      <c r="H16" s="8" t="s">
        <v>93</v>
      </c>
      <c r="I16" s="8">
        <v>11.167999999999999</v>
      </c>
      <c r="J16" s="8">
        <v>2</v>
      </c>
      <c r="K16" s="8">
        <v>0.2</v>
      </c>
      <c r="L16" s="8">
        <v>-2.5127999999999999</v>
      </c>
    </row>
    <row r="17" spans="1:12" x14ac:dyDescent="0.25">
      <c r="A17" s="8" t="s">
        <v>94</v>
      </c>
      <c r="B17" s="9">
        <v>45999</v>
      </c>
      <c r="C17" s="8" t="s">
        <v>95</v>
      </c>
      <c r="D17" s="8" t="s">
        <v>39</v>
      </c>
      <c r="E17" s="8" t="s">
        <v>58</v>
      </c>
      <c r="F17" s="8" t="s">
        <v>41</v>
      </c>
      <c r="G17" s="8" t="s">
        <v>76</v>
      </c>
      <c r="H17" s="8" t="s">
        <v>96</v>
      </c>
      <c r="I17" s="8">
        <v>68.111999999999995</v>
      </c>
      <c r="J17" s="8">
        <v>3</v>
      </c>
      <c r="K17" s="8">
        <v>0.2</v>
      </c>
      <c r="L17" s="8">
        <v>17.8794</v>
      </c>
    </row>
    <row r="18" spans="1:12" x14ac:dyDescent="0.25">
      <c r="A18" s="8" t="s">
        <v>97</v>
      </c>
      <c r="B18" s="9">
        <v>46265</v>
      </c>
      <c r="C18" s="8" t="s">
        <v>98</v>
      </c>
      <c r="D18" s="8" t="s">
        <v>39</v>
      </c>
      <c r="E18" s="8" t="s">
        <v>58</v>
      </c>
      <c r="F18" s="8" t="s">
        <v>34</v>
      </c>
      <c r="G18" s="8" t="s">
        <v>35</v>
      </c>
      <c r="H18" s="8" t="s">
        <v>99</v>
      </c>
      <c r="I18" s="8">
        <v>229.54400000000001</v>
      </c>
      <c r="J18" s="8">
        <v>7</v>
      </c>
      <c r="K18" s="8">
        <v>0.2</v>
      </c>
      <c r="L18" s="8">
        <v>83.209699999999998</v>
      </c>
    </row>
    <row r="19" spans="1:12" x14ac:dyDescent="0.25">
      <c r="A19" s="8" t="s">
        <v>100</v>
      </c>
      <c r="B19" s="9">
        <v>46237</v>
      </c>
      <c r="C19" s="8" t="s">
        <v>101</v>
      </c>
      <c r="D19" s="8" t="s">
        <v>39</v>
      </c>
      <c r="E19" s="8" t="s">
        <v>33</v>
      </c>
      <c r="F19" s="8" t="s">
        <v>34</v>
      </c>
      <c r="G19" s="8" t="s">
        <v>102</v>
      </c>
      <c r="H19" s="8" t="s">
        <v>103</v>
      </c>
      <c r="I19" s="8">
        <v>16.52</v>
      </c>
      <c r="J19" s="8">
        <v>5</v>
      </c>
      <c r="K19" s="8">
        <v>0.2</v>
      </c>
      <c r="L19" s="8">
        <v>5.3689999999999998</v>
      </c>
    </row>
    <row r="20" spans="1:12" x14ac:dyDescent="0.25">
      <c r="A20" s="8" t="s">
        <v>104</v>
      </c>
      <c r="B20" s="9">
        <v>45643</v>
      </c>
      <c r="C20" s="8" t="s">
        <v>105</v>
      </c>
      <c r="D20" s="8" t="s">
        <v>39</v>
      </c>
      <c r="E20" s="8" t="s">
        <v>40</v>
      </c>
      <c r="F20" s="8" t="s">
        <v>63</v>
      </c>
      <c r="G20" s="8" t="s">
        <v>86</v>
      </c>
      <c r="H20" s="8" t="s">
        <v>106</v>
      </c>
      <c r="I20" s="8">
        <v>212.13</v>
      </c>
      <c r="J20" s="8">
        <v>3</v>
      </c>
      <c r="K20" s="8">
        <v>0</v>
      </c>
      <c r="L20" s="8">
        <v>14.8491</v>
      </c>
    </row>
    <row r="21" spans="1:12" x14ac:dyDescent="0.25">
      <c r="A21" s="8" t="s">
        <v>107</v>
      </c>
      <c r="B21" s="9">
        <v>45988</v>
      </c>
      <c r="C21" s="8" t="s">
        <v>108</v>
      </c>
      <c r="D21" s="8" t="s">
        <v>32</v>
      </c>
      <c r="E21" s="8" t="s">
        <v>33</v>
      </c>
      <c r="F21" s="8" t="s">
        <v>63</v>
      </c>
      <c r="G21" s="8" t="s">
        <v>86</v>
      </c>
      <c r="H21" s="8" t="s">
        <v>109</v>
      </c>
      <c r="I21" s="8">
        <v>31.56</v>
      </c>
      <c r="J21" s="8">
        <v>3</v>
      </c>
      <c r="K21" s="8">
        <v>0</v>
      </c>
      <c r="L21" s="8">
        <v>10.4148</v>
      </c>
    </row>
    <row r="22" spans="1:12" x14ac:dyDescent="0.25">
      <c r="A22" s="8" t="s">
        <v>110</v>
      </c>
      <c r="B22" s="9">
        <v>45926</v>
      </c>
      <c r="C22" s="8" t="s">
        <v>111</v>
      </c>
      <c r="D22" s="8" t="s">
        <v>46</v>
      </c>
      <c r="E22" s="8" t="s">
        <v>58</v>
      </c>
      <c r="F22" s="8" t="s">
        <v>41</v>
      </c>
      <c r="G22" s="8" t="s">
        <v>76</v>
      </c>
      <c r="H22" s="8" t="s">
        <v>112</v>
      </c>
      <c r="I22" s="8">
        <v>431.976</v>
      </c>
      <c r="J22" s="8">
        <v>3</v>
      </c>
      <c r="K22" s="8">
        <v>0.2</v>
      </c>
      <c r="L22" s="8">
        <v>-75.595799999999997</v>
      </c>
    </row>
    <row r="23" spans="1:12" x14ac:dyDescent="0.25">
      <c r="A23" s="8" t="s">
        <v>113</v>
      </c>
      <c r="B23" s="9">
        <v>45911</v>
      </c>
      <c r="C23" s="8" t="s">
        <v>114</v>
      </c>
      <c r="D23" s="8" t="s">
        <v>39</v>
      </c>
      <c r="E23" s="8" t="s">
        <v>40</v>
      </c>
      <c r="F23" s="8" t="s">
        <v>34</v>
      </c>
      <c r="G23" s="8" t="s">
        <v>115</v>
      </c>
      <c r="H23" s="8" t="s">
        <v>116</v>
      </c>
      <c r="I23" s="8">
        <v>99.567999999999998</v>
      </c>
      <c r="J23" s="8">
        <v>2</v>
      </c>
      <c r="K23" s="8">
        <v>0.2</v>
      </c>
      <c r="L23" s="8">
        <v>33.604199999999999</v>
      </c>
    </row>
    <row r="24" spans="1:12" x14ac:dyDescent="0.25">
      <c r="A24" s="8" t="s">
        <v>117</v>
      </c>
      <c r="B24" s="9">
        <v>46098</v>
      </c>
      <c r="C24" s="8" t="s">
        <v>118</v>
      </c>
      <c r="D24" s="8" t="s">
        <v>39</v>
      </c>
      <c r="E24" s="8" t="s">
        <v>33</v>
      </c>
      <c r="F24" s="8" t="s">
        <v>34</v>
      </c>
      <c r="G24" s="8" t="s">
        <v>59</v>
      </c>
      <c r="H24" s="8" t="s">
        <v>119</v>
      </c>
      <c r="I24" s="8">
        <v>9.1440000000000001</v>
      </c>
      <c r="J24" s="8">
        <v>3</v>
      </c>
      <c r="K24" s="8">
        <v>0.2</v>
      </c>
      <c r="L24" s="8">
        <v>3.0861000000000001</v>
      </c>
    </row>
    <row r="25" spans="1:12" x14ac:dyDescent="0.25">
      <c r="A25" s="8" t="s">
        <v>120</v>
      </c>
      <c r="B25" s="9">
        <v>45640</v>
      </c>
      <c r="C25" s="8" t="s">
        <v>121</v>
      </c>
      <c r="D25" s="8" t="s">
        <v>39</v>
      </c>
      <c r="E25" s="8" t="s">
        <v>75</v>
      </c>
      <c r="F25" s="8" t="s">
        <v>34</v>
      </c>
      <c r="G25" s="8" t="s">
        <v>59</v>
      </c>
      <c r="H25" s="8" t="s">
        <v>122</v>
      </c>
      <c r="I25" s="8">
        <v>8.0960000000000001</v>
      </c>
      <c r="J25" s="8">
        <v>2</v>
      </c>
      <c r="K25" s="8">
        <v>0.2</v>
      </c>
      <c r="L25" s="8">
        <v>2.7324000000000002</v>
      </c>
    </row>
    <row r="26" spans="1:12" x14ac:dyDescent="0.25">
      <c r="A26" s="8" t="s">
        <v>123</v>
      </c>
      <c r="B26" s="9">
        <v>46384</v>
      </c>
      <c r="C26" s="8" t="s">
        <v>124</v>
      </c>
      <c r="D26" s="8" t="s">
        <v>46</v>
      </c>
      <c r="E26" s="8" t="s">
        <v>40</v>
      </c>
      <c r="F26" s="8" t="s">
        <v>34</v>
      </c>
      <c r="G26" s="8" t="s">
        <v>59</v>
      </c>
      <c r="H26" s="8" t="s">
        <v>125</v>
      </c>
      <c r="I26" s="8">
        <v>25.9</v>
      </c>
      <c r="J26" s="8">
        <v>5</v>
      </c>
      <c r="K26" s="8">
        <v>0</v>
      </c>
      <c r="L26" s="8">
        <v>12.691000000000001</v>
      </c>
    </row>
    <row r="27" spans="1:12" x14ac:dyDescent="0.25">
      <c r="A27" s="8" t="s">
        <v>126</v>
      </c>
      <c r="B27" s="9">
        <v>45186</v>
      </c>
      <c r="C27" s="8" t="s">
        <v>127</v>
      </c>
      <c r="D27" s="8" t="s">
        <v>39</v>
      </c>
      <c r="E27" s="8" t="s">
        <v>75</v>
      </c>
      <c r="F27" s="8" t="s">
        <v>34</v>
      </c>
      <c r="G27" s="8" t="s">
        <v>59</v>
      </c>
      <c r="H27" s="8" t="s">
        <v>128</v>
      </c>
      <c r="I27" s="8">
        <v>137.24</v>
      </c>
      <c r="J27" s="8">
        <v>5</v>
      </c>
      <c r="K27" s="8">
        <v>0.2</v>
      </c>
      <c r="L27" s="8">
        <v>46.3185</v>
      </c>
    </row>
    <row r="28" spans="1:12" x14ac:dyDescent="0.25">
      <c r="A28" s="8" t="s">
        <v>129</v>
      </c>
      <c r="B28" s="9">
        <v>46370</v>
      </c>
      <c r="C28" s="8" t="s">
        <v>130</v>
      </c>
      <c r="D28" s="8" t="s">
        <v>46</v>
      </c>
      <c r="E28" s="8" t="s">
        <v>40</v>
      </c>
      <c r="F28" s="8" t="s">
        <v>63</v>
      </c>
      <c r="G28" s="8" t="s">
        <v>86</v>
      </c>
      <c r="H28" s="8" t="s">
        <v>131</v>
      </c>
      <c r="I28" s="8">
        <v>2.032</v>
      </c>
      <c r="J28" s="8">
        <v>1</v>
      </c>
      <c r="K28" s="8">
        <v>0.6</v>
      </c>
      <c r="L28" s="8">
        <v>-1.3208</v>
      </c>
    </row>
    <row r="29" spans="1:12" x14ac:dyDescent="0.25">
      <c r="A29" s="8" t="s">
        <v>132</v>
      </c>
      <c r="B29" s="9">
        <v>46363</v>
      </c>
      <c r="C29" s="8" t="s">
        <v>133</v>
      </c>
      <c r="D29" s="8" t="s">
        <v>32</v>
      </c>
      <c r="E29" s="8" t="s">
        <v>40</v>
      </c>
      <c r="F29" s="8" t="s">
        <v>34</v>
      </c>
      <c r="G29" s="8" t="s">
        <v>134</v>
      </c>
      <c r="H29" s="8" t="s">
        <v>135</v>
      </c>
      <c r="I29" s="8">
        <v>3.552</v>
      </c>
      <c r="J29" s="8">
        <v>3</v>
      </c>
      <c r="K29" s="8">
        <v>0.2</v>
      </c>
      <c r="L29" s="8">
        <v>1.2432000000000001</v>
      </c>
    </row>
    <row r="30" spans="1:12" x14ac:dyDescent="0.25">
      <c r="A30" s="8" t="s">
        <v>136</v>
      </c>
      <c r="B30" s="9">
        <v>45545</v>
      </c>
      <c r="C30" s="8" t="s">
        <v>137</v>
      </c>
      <c r="D30" s="8" t="s">
        <v>39</v>
      </c>
      <c r="E30" s="8" t="s">
        <v>75</v>
      </c>
      <c r="F30" s="8" t="s">
        <v>34</v>
      </c>
      <c r="G30" s="8" t="s">
        <v>68</v>
      </c>
      <c r="H30" s="8" t="s">
        <v>138</v>
      </c>
      <c r="I30" s="8">
        <v>51.52</v>
      </c>
      <c r="J30" s="8">
        <v>4</v>
      </c>
      <c r="K30" s="8">
        <v>0</v>
      </c>
      <c r="L30" s="8">
        <v>1.5456000000000001</v>
      </c>
    </row>
    <row r="31" spans="1:12" x14ac:dyDescent="0.25">
      <c r="A31" s="8" t="s">
        <v>139</v>
      </c>
      <c r="B31" s="9">
        <v>46267</v>
      </c>
      <c r="C31" s="8" t="s">
        <v>140</v>
      </c>
      <c r="D31" s="8" t="s">
        <v>46</v>
      </c>
      <c r="E31" s="8" t="s">
        <v>75</v>
      </c>
      <c r="F31" s="8" t="s">
        <v>34</v>
      </c>
      <c r="G31" s="8" t="s">
        <v>59</v>
      </c>
      <c r="H31" s="8" t="s">
        <v>141</v>
      </c>
      <c r="I31" s="8">
        <v>147.91999999999999</v>
      </c>
      <c r="J31" s="8">
        <v>5</v>
      </c>
      <c r="K31" s="8">
        <v>0.2</v>
      </c>
      <c r="L31" s="8">
        <v>46.225000000000001</v>
      </c>
    </row>
    <row r="32" spans="1:12" x14ac:dyDescent="0.25">
      <c r="A32" s="8" t="s">
        <v>142</v>
      </c>
      <c r="B32" s="9">
        <v>46290</v>
      </c>
      <c r="C32" s="8" t="s">
        <v>143</v>
      </c>
      <c r="D32" s="8" t="s">
        <v>39</v>
      </c>
      <c r="E32" s="8" t="s">
        <v>33</v>
      </c>
      <c r="F32" s="8" t="s">
        <v>63</v>
      </c>
      <c r="G32" s="8" t="s">
        <v>64</v>
      </c>
      <c r="H32" s="8" t="s">
        <v>144</v>
      </c>
      <c r="I32" s="8">
        <v>488.64600000000002</v>
      </c>
      <c r="J32" s="8">
        <v>3</v>
      </c>
      <c r="K32" s="8">
        <v>0.1</v>
      </c>
      <c r="L32" s="8">
        <v>86.870400000000004</v>
      </c>
    </row>
    <row r="33" spans="1:12" x14ac:dyDescent="0.25">
      <c r="A33" s="8" t="s">
        <v>145</v>
      </c>
      <c r="B33" s="9">
        <v>46328</v>
      </c>
      <c r="C33" s="8" t="s">
        <v>146</v>
      </c>
      <c r="D33" s="8" t="s">
        <v>39</v>
      </c>
      <c r="E33" s="8" t="s">
        <v>75</v>
      </c>
      <c r="F33" s="8" t="s">
        <v>34</v>
      </c>
      <c r="G33" s="8" t="s">
        <v>54</v>
      </c>
      <c r="H33" s="8" t="s">
        <v>147</v>
      </c>
      <c r="I33" s="8">
        <v>168.1</v>
      </c>
      <c r="J33" s="8">
        <v>5</v>
      </c>
      <c r="K33" s="8">
        <v>0</v>
      </c>
      <c r="L33" s="8">
        <v>43.706000000000003</v>
      </c>
    </row>
    <row r="34" spans="1:12" x14ac:dyDescent="0.25">
      <c r="A34" s="8" t="s">
        <v>148</v>
      </c>
      <c r="B34" s="9">
        <v>45593</v>
      </c>
      <c r="C34" s="8" t="s">
        <v>149</v>
      </c>
      <c r="D34" s="8" t="s">
        <v>39</v>
      </c>
      <c r="E34" s="8" t="s">
        <v>58</v>
      </c>
      <c r="F34" s="8" t="s">
        <v>63</v>
      </c>
      <c r="G34" s="8" t="s">
        <v>86</v>
      </c>
      <c r="H34" s="8" t="s">
        <v>150</v>
      </c>
      <c r="I34" s="8">
        <v>24.1</v>
      </c>
      <c r="J34" s="8">
        <v>5</v>
      </c>
      <c r="K34" s="8">
        <v>0</v>
      </c>
      <c r="L34" s="8">
        <v>9.1579999999999995</v>
      </c>
    </row>
    <row r="35" spans="1:12" x14ac:dyDescent="0.25">
      <c r="A35" s="8" t="s">
        <v>151</v>
      </c>
      <c r="B35" s="9">
        <v>46034</v>
      </c>
      <c r="C35" s="8" t="s">
        <v>152</v>
      </c>
      <c r="D35" s="8" t="s">
        <v>46</v>
      </c>
      <c r="E35" s="8" t="s">
        <v>33</v>
      </c>
      <c r="F35" s="8" t="s">
        <v>63</v>
      </c>
      <c r="G35" s="8" t="s">
        <v>86</v>
      </c>
      <c r="H35" s="8" t="s">
        <v>153</v>
      </c>
      <c r="I35" s="8">
        <v>37.68</v>
      </c>
      <c r="J35" s="8">
        <v>2</v>
      </c>
      <c r="K35" s="8">
        <v>0</v>
      </c>
      <c r="L35" s="8">
        <v>15.8256</v>
      </c>
    </row>
    <row r="36" spans="1:12" x14ac:dyDescent="0.25">
      <c r="A36" s="8" t="s">
        <v>154</v>
      </c>
      <c r="B36" s="9">
        <v>45202</v>
      </c>
      <c r="C36" s="8" t="s">
        <v>155</v>
      </c>
      <c r="D36" s="8" t="s">
        <v>46</v>
      </c>
      <c r="E36" s="8" t="s">
        <v>58</v>
      </c>
      <c r="F36" s="8" t="s">
        <v>34</v>
      </c>
      <c r="G36" s="8" t="s">
        <v>47</v>
      </c>
      <c r="H36" s="8" t="s">
        <v>156</v>
      </c>
      <c r="I36" s="8">
        <v>61.567999999999998</v>
      </c>
      <c r="J36" s="8">
        <v>2</v>
      </c>
      <c r="K36" s="8">
        <v>0.2</v>
      </c>
      <c r="L36" s="8">
        <v>4.6176000000000004</v>
      </c>
    </row>
    <row r="37" spans="1:12" x14ac:dyDescent="0.25">
      <c r="A37" s="8" t="s">
        <v>157</v>
      </c>
      <c r="B37" s="9">
        <v>45933</v>
      </c>
      <c r="C37" s="8" t="s">
        <v>158</v>
      </c>
      <c r="D37" s="8" t="s">
        <v>39</v>
      </c>
      <c r="E37" s="8" t="s">
        <v>40</v>
      </c>
      <c r="F37" s="8" t="s">
        <v>34</v>
      </c>
      <c r="G37" s="8" t="s">
        <v>115</v>
      </c>
      <c r="H37" s="8" t="s">
        <v>159</v>
      </c>
      <c r="I37" s="8">
        <v>15.648</v>
      </c>
      <c r="J37" s="8">
        <v>2</v>
      </c>
      <c r="K37" s="8">
        <v>0.2</v>
      </c>
      <c r="L37" s="8">
        <v>5.0856000000000003</v>
      </c>
    </row>
    <row r="38" spans="1:12" x14ac:dyDescent="0.25">
      <c r="A38" s="8" t="s">
        <v>160</v>
      </c>
      <c r="B38" s="9">
        <v>46036</v>
      </c>
      <c r="C38" s="8" t="s">
        <v>161</v>
      </c>
      <c r="D38" s="8" t="s">
        <v>39</v>
      </c>
      <c r="E38" s="8" t="s">
        <v>58</v>
      </c>
      <c r="F38" s="8" t="s">
        <v>34</v>
      </c>
      <c r="G38" s="8" t="s">
        <v>59</v>
      </c>
      <c r="H38" s="8" t="s">
        <v>162</v>
      </c>
      <c r="I38" s="8">
        <v>2.508</v>
      </c>
      <c r="J38" s="8">
        <v>2</v>
      </c>
      <c r="K38" s="8">
        <v>0.7</v>
      </c>
      <c r="L38" s="8">
        <v>-1.8391999999999999</v>
      </c>
    </row>
    <row r="39" spans="1:12" x14ac:dyDescent="0.25">
      <c r="A39" s="8" t="s">
        <v>163</v>
      </c>
      <c r="B39" s="9">
        <v>45549</v>
      </c>
      <c r="C39" s="8" t="s">
        <v>164</v>
      </c>
      <c r="D39" s="8" t="s">
        <v>39</v>
      </c>
      <c r="E39" s="8" t="s">
        <v>58</v>
      </c>
      <c r="F39" s="8" t="s">
        <v>34</v>
      </c>
      <c r="G39" s="8" t="s">
        <v>47</v>
      </c>
      <c r="H39" s="8" t="s">
        <v>165</v>
      </c>
      <c r="I39" s="8">
        <v>269.49</v>
      </c>
      <c r="J39" s="8">
        <v>3</v>
      </c>
      <c r="K39" s="8">
        <v>0</v>
      </c>
      <c r="L39" s="8">
        <v>5.3897999999999904</v>
      </c>
    </row>
    <row r="40" spans="1:12" x14ac:dyDescent="0.25">
      <c r="A40" s="8" t="s">
        <v>166</v>
      </c>
      <c r="B40" s="9">
        <v>46189</v>
      </c>
      <c r="C40" s="8" t="s">
        <v>167</v>
      </c>
      <c r="D40" s="8" t="s">
        <v>39</v>
      </c>
      <c r="E40" s="8" t="s">
        <v>75</v>
      </c>
      <c r="F40" s="8" t="s">
        <v>63</v>
      </c>
      <c r="G40" s="8" t="s">
        <v>64</v>
      </c>
      <c r="H40" s="8" t="s">
        <v>168</v>
      </c>
      <c r="I40" s="8">
        <v>1212.96</v>
      </c>
      <c r="J40" s="8">
        <v>7</v>
      </c>
      <c r="K40" s="8">
        <v>0.2</v>
      </c>
      <c r="L40" s="8">
        <v>90.971999999999994</v>
      </c>
    </row>
    <row r="41" spans="1:12" x14ac:dyDescent="0.25">
      <c r="A41" s="8" t="s">
        <v>169</v>
      </c>
      <c r="B41" s="9">
        <v>46129</v>
      </c>
      <c r="C41" s="8" t="s">
        <v>170</v>
      </c>
      <c r="D41" s="8" t="s">
        <v>39</v>
      </c>
      <c r="E41" s="8" t="s">
        <v>75</v>
      </c>
      <c r="F41" s="8" t="s">
        <v>34</v>
      </c>
      <c r="G41" s="8" t="s">
        <v>134</v>
      </c>
      <c r="H41" s="8" t="s">
        <v>171</v>
      </c>
      <c r="I41" s="8">
        <v>10.9</v>
      </c>
      <c r="J41" s="8">
        <v>5</v>
      </c>
      <c r="K41" s="8">
        <v>0</v>
      </c>
      <c r="L41" s="8">
        <v>3.597</v>
      </c>
    </row>
    <row r="42" spans="1:12" x14ac:dyDescent="0.25">
      <c r="A42" s="8" t="s">
        <v>172</v>
      </c>
      <c r="B42" s="9">
        <v>45748</v>
      </c>
      <c r="C42" s="8" t="s">
        <v>173</v>
      </c>
      <c r="D42" s="8" t="s">
        <v>39</v>
      </c>
      <c r="E42" s="8" t="s">
        <v>33</v>
      </c>
      <c r="F42" s="8" t="s">
        <v>34</v>
      </c>
      <c r="G42" s="8" t="s">
        <v>174</v>
      </c>
      <c r="H42" s="8" t="s">
        <v>175</v>
      </c>
      <c r="I42" s="8">
        <v>9.84</v>
      </c>
      <c r="J42" s="8">
        <v>3</v>
      </c>
      <c r="K42" s="8">
        <v>0</v>
      </c>
      <c r="L42" s="8">
        <v>2.8536000000000001</v>
      </c>
    </row>
    <row r="43" spans="1:12" x14ac:dyDescent="0.25">
      <c r="A43" s="8" t="s">
        <v>176</v>
      </c>
      <c r="B43" s="9">
        <v>45855</v>
      </c>
      <c r="C43" s="8" t="s">
        <v>177</v>
      </c>
      <c r="D43" s="8" t="s">
        <v>39</v>
      </c>
      <c r="E43" s="8" t="s">
        <v>75</v>
      </c>
      <c r="F43" s="8" t="s">
        <v>63</v>
      </c>
      <c r="G43" s="8" t="s">
        <v>86</v>
      </c>
      <c r="H43" s="8" t="s">
        <v>178</v>
      </c>
      <c r="I43" s="8">
        <v>12.42</v>
      </c>
      <c r="J43" s="8">
        <v>3</v>
      </c>
      <c r="K43" s="8">
        <v>0</v>
      </c>
      <c r="L43" s="8">
        <v>4.4711999999999996</v>
      </c>
    </row>
    <row r="44" spans="1:12" x14ac:dyDescent="0.25">
      <c r="A44" s="8" t="s">
        <v>179</v>
      </c>
      <c r="B44" s="9">
        <v>45550</v>
      </c>
      <c r="C44" s="8" t="s">
        <v>180</v>
      </c>
      <c r="D44" s="8" t="s">
        <v>32</v>
      </c>
      <c r="E44" s="8" t="s">
        <v>58</v>
      </c>
      <c r="F44" s="8" t="s">
        <v>34</v>
      </c>
      <c r="G44" s="8" t="s">
        <v>35</v>
      </c>
      <c r="H44" s="8" t="s">
        <v>181</v>
      </c>
      <c r="I44" s="8">
        <v>15.552</v>
      </c>
      <c r="J44" s="8">
        <v>3</v>
      </c>
      <c r="K44" s="8">
        <v>0.2</v>
      </c>
      <c r="L44" s="8">
        <v>5.4432</v>
      </c>
    </row>
    <row r="45" spans="1:12" x14ac:dyDescent="0.25">
      <c r="A45" s="8" t="s">
        <v>182</v>
      </c>
      <c r="B45" s="9">
        <v>45574</v>
      </c>
      <c r="C45" s="8" t="s">
        <v>183</v>
      </c>
      <c r="D45" s="8" t="s">
        <v>32</v>
      </c>
      <c r="E45" s="8" t="s">
        <v>40</v>
      </c>
      <c r="F45" s="8" t="s">
        <v>41</v>
      </c>
      <c r="G45" s="8" t="s">
        <v>76</v>
      </c>
      <c r="H45" s="8" t="s">
        <v>184</v>
      </c>
      <c r="I45" s="8">
        <v>619.95000000000005</v>
      </c>
      <c r="J45" s="8">
        <v>5</v>
      </c>
      <c r="K45" s="8">
        <v>0</v>
      </c>
      <c r="L45" s="8">
        <v>111.59099999999999</v>
      </c>
    </row>
    <row r="46" spans="1:12" x14ac:dyDescent="0.25">
      <c r="A46" s="8" t="s">
        <v>185</v>
      </c>
      <c r="B46" s="9">
        <v>45884</v>
      </c>
      <c r="C46" s="8" t="s">
        <v>186</v>
      </c>
      <c r="D46" s="8" t="s">
        <v>32</v>
      </c>
      <c r="E46" s="8" t="s">
        <v>75</v>
      </c>
      <c r="F46" s="8" t="s">
        <v>34</v>
      </c>
      <c r="G46" s="8" t="s">
        <v>102</v>
      </c>
      <c r="H46" s="8" t="s">
        <v>187</v>
      </c>
      <c r="I46" s="8">
        <v>3.15</v>
      </c>
      <c r="J46" s="8">
        <v>1</v>
      </c>
      <c r="K46" s="8">
        <v>0</v>
      </c>
      <c r="L46" s="8">
        <v>1.512</v>
      </c>
    </row>
    <row r="47" spans="1:12" x14ac:dyDescent="0.25">
      <c r="A47" s="8" t="s">
        <v>188</v>
      </c>
      <c r="B47" s="9">
        <v>45232</v>
      </c>
      <c r="C47" s="8" t="s">
        <v>189</v>
      </c>
      <c r="D47" s="8" t="s">
        <v>39</v>
      </c>
      <c r="E47" s="8" t="s">
        <v>33</v>
      </c>
      <c r="F47" s="8" t="s">
        <v>41</v>
      </c>
      <c r="G47" s="8" t="s">
        <v>42</v>
      </c>
      <c r="H47" s="8" t="s">
        <v>190</v>
      </c>
      <c r="I47" s="8">
        <v>539.96400000000006</v>
      </c>
      <c r="J47" s="8">
        <v>6</v>
      </c>
      <c r="K47" s="8">
        <v>0.4</v>
      </c>
      <c r="L47" s="8">
        <v>-107.9928</v>
      </c>
    </row>
    <row r="48" spans="1:12" x14ac:dyDescent="0.25">
      <c r="A48" s="8" t="s">
        <v>191</v>
      </c>
      <c r="B48" s="9">
        <v>45786</v>
      </c>
      <c r="C48" s="8" t="s">
        <v>192</v>
      </c>
      <c r="D48" s="8" t="s">
        <v>32</v>
      </c>
      <c r="E48" s="8" t="s">
        <v>40</v>
      </c>
      <c r="F48" s="8" t="s">
        <v>34</v>
      </c>
      <c r="G48" s="8" t="s">
        <v>59</v>
      </c>
      <c r="H48" s="8" t="s">
        <v>193</v>
      </c>
      <c r="I48" s="8">
        <v>13.183999999999999</v>
      </c>
      <c r="J48" s="8">
        <v>4</v>
      </c>
      <c r="K48" s="8">
        <v>0.8</v>
      </c>
      <c r="L48" s="8">
        <v>-20.435199999999998</v>
      </c>
    </row>
    <row r="49" spans="1:12" x14ac:dyDescent="0.25">
      <c r="A49" s="8" t="s">
        <v>194</v>
      </c>
      <c r="B49" s="9">
        <v>45671</v>
      </c>
      <c r="C49" s="8" t="s">
        <v>195</v>
      </c>
      <c r="D49" s="8" t="s">
        <v>39</v>
      </c>
      <c r="E49" s="8" t="s">
        <v>58</v>
      </c>
      <c r="F49" s="8" t="s">
        <v>63</v>
      </c>
      <c r="G49" s="8" t="s">
        <v>86</v>
      </c>
      <c r="H49" s="8" t="s">
        <v>196</v>
      </c>
      <c r="I49" s="8">
        <v>315.77600000000001</v>
      </c>
      <c r="J49" s="8">
        <v>8</v>
      </c>
      <c r="K49" s="8">
        <v>0.2</v>
      </c>
      <c r="L49" s="8">
        <v>31.5776</v>
      </c>
    </row>
    <row r="50" spans="1:12" x14ac:dyDescent="0.25">
      <c r="A50" s="8" t="s">
        <v>197</v>
      </c>
      <c r="B50" s="9">
        <v>46335</v>
      </c>
      <c r="C50" s="8" t="s">
        <v>198</v>
      </c>
      <c r="D50" s="8" t="s">
        <v>32</v>
      </c>
      <c r="E50" s="8" t="s">
        <v>75</v>
      </c>
      <c r="F50" s="8" t="s">
        <v>34</v>
      </c>
      <c r="G50" s="8" t="s">
        <v>47</v>
      </c>
      <c r="H50" s="8" t="s">
        <v>199</v>
      </c>
      <c r="I50" s="8">
        <v>63.56</v>
      </c>
      <c r="J50" s="8">
        <v>2</v>
      </c>
      <c r="K50" s="8">
        <v>0</v>
      </c>
      <c r="L50" s="8">
        <v>3.1779999999999999</v>
      </c>
    </row>
    <row r="51" spans="1:12" x14ac:dyDescent="0.25">
      <c r="A51" s="8" t="s">
        <v>200</v>
      </c>
      <c r="B51" s="9">
        <v>45971</v>
      </c>
      <c r="C51" s="8" t="s">
        <v>201</v>
      </c>
      <c r="D51" s="8" t="s">
        <v>32</v>
      </c>
      <c r="E51" s="8" t="s">
        <v>33</v>
      </c>
      <c r="F51" s="8" t="s">
        <v>34</v>
      </c>
      <c r="G51" s="8" t="s">
        <v>59</v>
      </c>
      <c r="H51" s="8" t="s">
        <v>202</v>
      </c>
      <c r="I51" s="8">
        <v>20.367999999999999</v>
      </c>
      <c r="J51" s="8">
        <v>1</v>
      </c>
      <c r="K51" s="8">
        <v>0.2</v>
      </c>
      <c r="L51" s="8">
        <v>7.3834</v>
      </c>
    </row>
    <row r="52" spans="1:12" x14ac:dyDescent="0.25">
      <c r="A52" s="8" t="s">
        <v>203</v>
      </c>
      <c r="B52" s="9">
        <v>45911</v>
      </c>
      <c r="C52" s="8" t="s">
        <v>204</v>
      </c>
      <c r="D52" s="8" t="s">
        <v>39</v>
      </c>
      <c r="E52" s="8" t="s">
        <v>40</v>
      </c>
      <c r="F52" s="8" t="s">
        <v>41</v>
      </c>
      <c r="G52" s="8" t="s">
        <v>42</v>
      </c>
      <c r="H52" s="8" t="s">
        <v>205</v>
      </c>
      <c r="I52" s="8">
        <v>224.75</v>
      </c>
      <c r="J52" s="8">
        <v>5</v>
      </c>
      <c r="K52" s="8">
        <v>0</v>
      </c>
      <c r="L52" s="8">
        <v>62.93</v>
      </c>
    </row>
    <row r="53" spans="1:12" x14ac:dyDescent="0.25">
      <c r="A53" s="8" t="s">
        <v>206</v>
      </c>
      <c r="B53" s="9">
        <v>45918</v>
      </c>
      <c r="C53" s="8" t="s">
        <v>207</v>
      </c>
      <c r="D53" s="8" t="s">
        <v>32</v>
      </c>
      <c r="E53" s="8" t="s">
        <v>75</v>
      </c>
      <c r="F53" s="8" t="s">
        <v>63</v>
      </c>
      <c r="G53" s="8" t="s">
        <v>64</v>
      </c>
      <c r="H53" s="8" t="s">
        <v>208</v>
      </c>
      <c r="I53" s="8">
        <v>885.52800000000002</v>
      </c>
      <c r="J53" s="8">
        <v>9</v>
      </c>
      <c r="K53" s="8">
        <v>0.2</v>
      </c>
      <c r="L53" s="8">
        <v>-99.621900000000096</v>
      </c>
    </row>
    <row r="54" spans="1:12" x14ac:dyDescent="0.25">
      <c r="A54" s="8" t="s">
        <v>209</v>
      </c>
      <c r="B54" s="9">
        <v>45646</v>
      </c>
      <c r="C54" s="8" t="s">
        <v>210</v>
      </c>
      <c r="D54" s="8" t="s">
        <v>46</v>
      </c>
      <c r="E54" s="8" t="s">
        <v>40</v>
      </c>
      <c r="F54" s="8" t="s">
        <v>41</v>
      </c>
      <c r="G54" s="8" t="s">
        <v>76</v>
      </c>
      <c r="H54" s="8" t="s">
        <v>211</v>
      </c>
      <c r="I54" s="8">
        <v>100.8</v>
      </c>
      <c r="J54" s="8">
        <v>2</v>
      </c>
      <c r="K54" s="8">
        <v>0.2</v>
      </c>
      <c r="L54" s="8">
        <v>21.42</v>
      </c>
    </row>
    <row r="55" spans="1:12" x14ac:dyDescent="0.25">
      <c r="A55" s="8" t="s">
        <v>212</v>
      </c>
      <c r="B55" s="9">
        <v>45451</v>
      </c>
      <c r="C55" s="8" t="s">
        <v>213</v>
      </c>
      <c r="D55" s="8" t="s">
        <v>32</v>
      </c>
      <c r="E55" s="8" t="s">
        <v>58</v>
      </c>
      <c r="F55" s="8" t="s">
        <v>34</v>
      </c>
      <c r="G55" s="8" t="s">
        <v>59</v>
      </c>
      <c r="H55" s="8" t="s">
        <v>214</v>
      </c>
      <c r="I55" s="8">
        <v>18.263999999999999</v>
      </c>
      <c r="J55" s="8">
        <v>2</v>
      </c>
      <c r="K55" s="8">
        <v>0.7</v>
      </c>
      <c r="L55" s="8">
        <v>-13.393599999999999</v>
      </c>
    </row>
    <row r="56" spans="1:12" x14ac:dyDescent="0.25">
      <c r="A56" s="8" t="s">
        <v>215</v>
      </c>
      <c r="B56" s="9">
        <v>45975</v>
      </c>
      <c r="C56" s="8" t="s">
        <v>216</v>
      </c>
      <c r="D56" s="8" t="s">
        <v>39</v>
      </c>
      <c r="E56" s="8" t="s">
        <v>33</v>
      </c>
      <c r="F56" s="8" t="s">
        <v>63</v>
      </c>
      <c r="G56" s="8" t="s">
        <v>64</v>
      </c>
      <c r="H56" s="8" t="s">
        <v>144</v>
      </c>
      <c r="I56" s="8">
        <v>380.05799999999999</v>
      </c>
      <c r="J56" s="8">
        <v>3</v>
      </c>
      <c r="K56" s="8">
        <v>0.3</v>
      </c>
      <c r="L56" s="8">
        <v>-21.717600000000001</v>
      </c>
    </row>
    <row r="57" spans="1:12" x14ac:dyDescent="0.25">
      <c r="A57" s="8" t="s">
        <v>217</v>
      </c>
      <c r="B57" s="9">
        <v>46241</v>
      </c>
      <c r="C57" s="8" t="s">
        <v>218</v>
      </c>
      <c r="D57" s="8" t="s">
        <v>39</v>
      </c>
      <c r="E57" s="8" t="s">
        <v>33</v>
      </c>
      <c r="F57" s="8" t="s">
        <v>34</v>
      </c>
      <c r="G57" s="8" t="s">
        <v>174</v>
      </c>
      <c r="H57" s="8" t="s">
        <v>219</v>
      </c>
      <c r="I57" s="8">
        <v>11.68</v>
      </c>
      <c r="J57" s="8">
        <v>2</v>
      </c>
      <c r="K57" s="8">
        <v>0</v>
      </c>
      <c r="L57" s="8">
        <v>5.4896000000000003</v>
      </c>
    </row>
    <row r="58" spans="1:12" x14ac:dyDescent="0.25">
      <c r="A58" s="8" t="s">
        <v>220</v>
      </c>
      <c r="B58" s="9">
        <v>46332</v>
      </c>
      <c r="C58" s="8" t="s">
        <v>221</v>
      </c>
      <c r="D58" s="8" t="s">
        <v>39</v>
      </c>
      <c r="E58" s="8" t="s">
        <v>58</v>
      </c>
      <c r="F58" s="8" t="s">
        <v>34</v>
      </c>
      <c r="G58" s="8" t="s">
        <v>35</v>
      </c>
      <c r="H58" s="8" t="s">
        <v>222</v>
      </c>
      <c r="I58" s="8">
        <v>31.103999999999999</v>
      </c>
      <c r="J58" s="8">
        <v>6</v>
      </c>
      <c r="K58" s="8">
        <v>0.2</v>
      </c>
      <c r="L58" s="8">
        <v>10.8864</v>
      </c>
    </row>
    <row r="59" spans="1:12" x14ac:dyDescent="0.25">
      <c r="A59" s="8" t="s">
        <v>223</v>
      </c>
      <c r="B59" s="9">
        <v>46345</v>
      </c>
      <c r="C59" s="8" t="s">
        <v>224</v>
      </c>
      <c r="D59" s="8" t="s">
        <v>46</v>
      </c>
      <c r="E59" s="8" t="s">
        <v>33</v>
      </c>
      <c r="F59" s="8" t="s">
        <v>34</v>
      </c>
      <c r="G59" s="8" t="s">
        <v>35</v>
      </c>
      <c r="H59" s="8" t="s">
        <v>225</v>
      </c>
      <c r="I59" s="8">
        <v>13.36</v>
      </c>
      <c r="J59" s="8">
        <v>2</v>
      </c>
      <c r="K59" s="8">
        <v>0</v>
      </c>
      <c r="L59" s="8">
        <v>6.4127999999999998</v>
      </c>
    </row>
    <row r="60" spans="1:12" x14ac:dyDescent="0.25">
      <c r="A60" s="8" t="s">
        <v>226</v>
      </c>
      <c r="B60" s="9">
        <v>46357</v>
      </c>
      <c r="C60" s="8" t="s">
        <v>227</v>
      </c>
      <c r="D60" s="8" t="s">
        <v>39</v>
      </c>
      <c r="E60" s="8" t="s">
        <v>75</v>
      </c>
      <c r="F60" s="8" t="s">
        <v>41</v>
      </c>
      <c r="G60" s="8" t="s">
        <v>42</v>
      </c>
      <c r="H60" s="8" t="s">
        <v>228</v>
      </c>
      <c r="I60" s="8">
        <v>470.37599999999998</v>
      </c>
      <c r="J60" s="8">
        <v>3</v>
      </c>
      <c r="K60" s="8">
        <v>0.2</v>
      </c>
      <c r="L60" s="8">
        <v>52.917299999999997</v>
      </c>
    </row>
    <row r="61" spans="1:12" x14ac:dyDescent="0.25">
      <c r="A61" s="8" t="s">
        <v>229</v>
      </c>
      <c r="B61" s="9">
        <v>45951</v>
      </c>
      <c r="C61" s="8" t="s">
        <v>230</v>
      </c>
      <c r="D61" s="8" t="s">
        <v>46</v>
      </c>
      <c r="E61" s="8" t="s">
        <v>75</v>
      </c>
      <c r="F61" s="8" t="s">
        <v>34</v>
      </c>
      <c r="G61" s="8" t="s">
        <v>174</v>
      </c>
      <c r="H61" s="8" t="s">
        <v>231</v>
      </c>
      <c r="I61" s="8">
        <v>113.22</v>
      </c>
      <c r="J61" s="8">
        <v>3</v>
      </c>
      <c r="K61" s="8">
        <v>0</v>
      </c>
      <c r="L61" s="8">
        <v>29.437200000000001</v>
      </c>
    </row>
    <row r="62" spans="1:12" x14ac:dyDescent="0.25">
      <c r="A62" s="8" t="s">
        <v>232</v>
      </c>
      <c r="B62" s="9">
        <v>45079</v>
      </c>
      <c r="C62" s="8" t="s">
        <v>233</v>
      </c>
      <c r="D62" s="8" t="s">
        <v>39</v>
      </c>
      <c r="E62" s="8" t="s">
        <v>58</v>
      </c>
      <c r="F62" s="8" t="s">
        <v>41</v>
      </c>
      <c r="G62" s="8" t="s">
        <v>42</v>
      </c>
      <c r="H62" s="8" t="s">
        <v>234</v>
      </c>
      <c r="I62" s="8">
        <v>239.97</v>
      </c>
      <c r="J62" s="8">
        <v>3</v>
      </c>
      <c r="K62" s="8">
        <v>0</v>
      </c>
      <c r="L62" s="8">
        <v>67.191599999999994</v>
      </c>
    </row>
    <row r="63" spans="1:12" x14ac:dyDescent="0.25">
      <c r="A63" s="8" t="s">
        <v>235</v>
      </c>
      <c r="B63" s="9">
        <v>46353</v>
      </c>
      <c r="C63" s="8" t="s">
        <v>183</v>
      </c>
      <c r="D63" s="8" t="s">
        <v>32</v>
      </c>
      <c r="E63" s="8" t="s">
        <v>40</v>
      </c>
      <c r="F63" s="8" t="s">
        <v>41</v>
      </c>
      <c r="G63" s="8" t="s">
        <v>76</v>
      </c>
      <c r="H63" s="8" t="s">
        <v>236</v>
      </c>
      <c r="I63" s="8">
        <v>143.72999999999999</v>
      </c>
      <c r="J63" s="8">
        <v>9</v>
      </c>
      <c r="K63" s="8">
        <v>0</v>
      </c>
      <c r="L63" s="8">
        <v>56.054699999999997</v>
      </c>
    </row>
    <row r="64" spans="1:12" x14ac:dyDescent="0.25">
      <c r="A64" s="8" t="s">
        <v>237</v>
      </c>
      <c r="B64" s="9">
        <v>45086</v>
      </c>
      <c r="C64" s="8" t="s">
        <v>161</v>
      </c>
      <c r="D64" s="8" t="s">
        <v>39</v>
      </c>
      <c r="E64" s="8" t="s">
        <v>75</v>
      </c>
      <c r="F64" s="8" t="s">
        <v>34</v>
      </c>
      <c r="G64" s="8" t="s">
        <v>54</v>
      </c>
      <c r="H64" s="8" t="s">
        <v>238</v>
      </c>
      <c r="I64" s="8">
        <v>114.9</v>
      </c>
      <c r="J64" s="8">
        <v>5</v>
      </c>
      <c r="K64" s="8">
        <v>0</v>
      </c>
      <c r="L64" s="8">
        <v>34.47</v>
      </c>
    </row>
    <row r="65" spans="1:12" x14ac:dyDescent="0.25">
      <c r="A65" s="8" t="s">
        <v>239</v>
      </c>
      <c r="B65" s="9">
        <v>45985</v>
      </c>
      <c r="C65" s="8" t="s">
        <v>240</v>
      </c>
      <c r="D65" s="8" t="s">
        <v>46</v>
      </c>
      <c r="E65" s="8" t="s">
        <v>33</v>
      </c>
      <c r="F65" s="8" t="s">
        <v>34</v>
      </c>
      <c r="G65" s="8" t="s">
        <v>134</v>
      </c>
      <c r="H65" s="8" t="s">
        <v>241</v>
      </c>
      <c r="I65" s="8">
        <v>4.4160000000000004</v>
      </c>
      <c r="J65" s="8">
        <v>3</v>
      </c>
      <c r="K65" s="8">
        <v>0.2</v>
      </c>
      <c r="L65" s="8">
        <v>1.6008</v>
      </c>
    </row>
    <row r="66" spans="1:12" x14ac:dyDescent="0.25">
      <c r="A66" s="8" t="s">
        <v>242</v>
      </c>
      <c r="B66" s="9">
        <v>45769</v>
      </c>
      <c r="C66" s="8" t="s">
        <v>243</v>
      </c>
      <c r="D66" s="8" t="s">
        <v>39</v>
      </c>
      <c r="E66" s="8" t="s">
        <v>33</v>
      </c>
      <c r="F66" s="8" t="s">
        <v>34</v>
      </c>
      <c r="G66" s="8" t="s">
        <v>174</v>
      </c>
      <c r="H66" s="8" t="s">
        <v>244</v>
      </c>
      <c r="I66" s="8">
        <v>32.130000000000003</v>
      </c>
      <c r="J66" s="8">
        <v>9</v>
      </c>
      <c r="K66" s="8">
        <v>0</v>
      </c>
      <c r="L66" s="8">
        <v>8.3537999999999997</v>
      </c>
    </row>
    <row r="67" spans="1:12" x14ac:dyDescent="0.25">
      <c r="A67" s="8" t="s">
        <v>245</v>
      </c>
      <c r="B67" s="9">
        <v>45814</v>
      </c>
      <c r="C67" s="8" t="s">
        <v>246</v>
      </c>
      <c r="D67" s="8" t="s">
        <v>46</v>
      </c>
      <c r="E67" s="8" t="s">
        <v>75</v>
      </c>
      <c r="F67" s="8" t="s">
        <v>34</v>
      </c>
      <c r="G67" s="8" t="s">
        <v>35</v>
      </c>
      <c r="H67" s="8" t="s">
        <v>247</v>
      </c>
      <c r="I67" s="8">
        <v>99.9</v>
      </c>
      <c r="J67" s="8">
        <v>5</v>
      </c>
      <c r="K67" s="8">
        <v>0</v>
      </c>
      <c r="L67" s="8">
        <v>46.953000000000003</v>
      </c>
    </row>
    <row r="68" spans="1:12" x14ac:dyDescent="0.25">
      <c r="A68" s="8" t="s">
        <v>248</v>
      </c>
      <c r="B68" s="9">
        <v>45750</v>
      </c>
      <c r="C68" s="8" t="s">
        <v>249</v>
      </c>
      <c r="D68" s="8" t="s">
        <v>39</v>
      </c>
      <c r="E68" s="8" t="s">
        <v>40</v>
      </c>
      <c r="F68" s="8" t="s">
        <v>41</v>
      </c>
      <c r="G68" s="8" t="s">
        <v>42</v>
      </c>
      <c r="H68" s="8" t="s">
        <v>250</v>
      </c>
      <c r="I68" s="8">
        <v>259.95999999999998</v>
      </c>
      <c r="J68" s="8">
        <v>4</v>
      </c>
      <c r="K68" s="8">
        <v>0</v>
      </c>
      <c r="L68" s="8">
        <v>124.7808</v>
      </c>
    </row>
    <row r="69" spans="1:12" x14ac:dyDescent="0.25">
      <c r="A69" s="8" t="s">
        <v>251</v>
      </c>
      <c r="B69" s="9">
        <v>45808</v>
      </c>
      <c r="C69" s="8" t="s">
        <v>252</v>
      </c>
      <c r="D69" s="8" t="s">
        <v>39</v>
      </c>
      <c r="E69" s="8" t="s">
        <v>40</v>
      </c>
      <c r="F69" s="8" t="s">
        <v>34</v>
      </c>
      <c r="G69" s="8" t="s">
        <v>35</v>
      </c>
      <c r="H69" s="8" t="s">
        <v>253</v>
      </c>
      <c r="I69" s="8">
        <v>10.368</v>
      </c>
      <c r="J69" s="8">
        <v>2</v>
      </c>
      <c r="K69" s="8">
        <v>0.2</v>
      </c>
      <c r="L69" s="8">
        <v>3.6288</v>
      </c>
    </row>
    <row r="70" spans="1:12" x14ac:dyDescent="0.25">
      <c r="A70" s="8" t="s">
        <v>254</v>
      </c>
      <c r="B70" s="9">
        <v>45407</v>
      </c>
      <c r="C70" s="8" t="s">
        <v>53</v>
      </c>
      <c r="D70" s="8" t="s">
        <v>39</v>
      </c>
      <c r="E70" s="8" t="s">
        <v>40</v>
      </c>
      <c r="F70" s="8" t="s">
        <v>63</v>
      </c>
      <c r="G70" s="8" t="s">
        <v>64</v>
      </c>
      <c r="H70" s="8" t="s">
        <v>255</v>
      </c>
      <c r="I70" s="8">
        <v>128.05799999999999</v>
      </c>
      <c r="J70" s="8">
        <v>3</v>
      </c>
      <c r="K70" s="8">
        <v>0.3</v>
      </c>
      <c r="L70" s="8">
        <v>-23.7822</v>
      </c>
    </row>
    <row r="71" spans="1:12" x14ac:dyDescent="0.25">
      <c r="A71" s="8" t="s">
        <v>256</v>
      </c>
      <c r="B71" s="9">
        <v>46218</v>
      </c>
      <c r="C71" s="8" t="s">
        <v>257</v>
      </c>
      <c r="D71" s="8" t="s">
        <v>39</v>
      </c>
      <c r="E71" s="8" t="s">
        <v>33</v>
      </c>
      <c r="F71" s="8" t="s">
        <v>34</v>
      </c>
      <c r="G71" s="8" t="s">
        <v>174</v>
      </c>
      <c r="H71" s="8" t="s">
        <v>258</v>
      </c>
      <c r="I71" s="8">
        <v>6.56</v>
      </c>
      <c r="J71" s="8">
        <v>2</v>
      </c>
      <c r="K71" s="8">
        <v>0</v>
      </c>
      <c r="L71" s="8">
        <v>1.9024000000000001</v>
      </c>
    </row>
    <row r="72" spans="1:12" x14ac:dyDescent="0.25">
      <c r="A72" s="8" t="s">
        <v>259</v>
      </c>
      <c r="B72" s="9">
        <v>45440</v>
      </c>
      <c r="C72" s="8" t="s">
        <v>260</v>
      </c>
      <c r="D72" s="8" t="s">
        <v>39</v>
      </c>
      <c r="E72" s="8" t="s">
        <v>33</v>
      </c>
      <c r="F72" s="8" t="s">
        <v>41</v>
      </c>
      <c r="G72" s="8" t="s">
        <v>42</v>
      </c>
      <c r="H72" s="8" t="s">
        <v>261</v>
      </c>
      <c r="I72" s="8">
        <v>45.99</v>
      </c>
      <c r="J72" s="8">
        <v>1</v>
      </c>
      <c r="K72" s="8">
        <v>0</v>
      </c>
      <c r="L72" s="8">
        <v>13.3371</v>
      </c>
    </row>
    <row r="73" spans="1:12" x14ac:dyDescent="0.25">
      <c r="A73" s="8" t="s">
        <v>262</v>
      </c>
      <c r="B73" s="9">
        <v>45274</v>
      </c>
      <c r="C73" s="8" t="s">
        <v>263</v>
      </c>
      <c r="D73" s="8" t="s">
        <v>39</v>
      </c>
      <c r="E73" s="8" t="s">
        <v>58</v>
      </c>
      <c r="F73" s="8" t="s">
        <v>63</v>
      </c>
      <c r="G73" s="8" t="s">
        <v>64</v>
      </c>
      <c r="H73" s="8" t="s">
        <v>264</v>
      </c>
      <c r="I73" s="8">
        <v>186.304</v>
      </c>
      <c r="J73" s="8">
        <v>4</v>
      </c>
      <c r="K73" s="8">
        <v>0.2</v>
      </c>
      <c r="L73" s="8">
        <v>13.972799999999999</v>
      </c>
    </row>
    <row r="74" spans="1:12" x14ac:dyDescent="0.25">
      <c r="A74" s="8" t="s">
        <v>265</v>
      </c>
      <c r="B74" s="9">
        <v>46043</v>
      </c>
      <c r="C74" s="8" t="s">
        <v>266</v>
      </c>
      <c r="D74" s="8" t="s">
        <v>46</v>
      </c>
      <c r="E74" s="8" t="s">
        <v>75</v>
      </c>
      <c r="F74" s="8" t="s">
        <v>34</v>
      </c>
      <c r="G74" s="8" t="s">
        <v>59</v>
      </c>
      <c r="H74" s="8" t="s">
        <v>267</v>
      </c>
      <c r="I74" s="8">
        <v>99.695999999999998</v>
      </c>
      <c r="J74" s="8">
        <v>6</v>
      </c>
      <c r="K74" s="8">
        <v>0.2</v>
      </c>
      <c r="L74" s="8">
        <v>33.647399999999998</v>
      </c>
    </row>
    <row r="75" spans="1:12" x14ac:dyDescent="0.25">
      <c r="A75" s="8" t="s">
        <v>268</v>
      </c>
      <c r="B75" s="9">
        <v>45925</v>
      </c>
      <c r="C75" s="8" t="s">
        <v>269</v>
      </c>
      <c r="D75" s="8" t="s">
        <v>39</v>
      </c>
      <c r="E75" s="8" t="s">
        <v>33</v>
      </c>
      <c r="F75" s="8" t="s">
        <v>34</v>
      </c>
      <c r="G75" s="8" t="s">
        <v>47</v>
      </c>
      <c r="H75" s="8" t="s">
        <v>270</v>
      </c>
      <c r="I75" s="8">
        <v>331.536</v>
      </c>
      <c r="J75" s="8">
        <v>3</v>
      </c>
      <c r="K75" s="8">
        <v>0.2</v>
      </c>
      <c r="L75" s="8">
        <v>-82.884</v>
      </c>
    </row>
    <row r="76" spans="1:12" x14ac:dyDescent="0.25">
      <c r="A76" s="8" t="s">
        <v>271</v>
      </c>
      <c r="B76" s="9">
        <v>45702</v>
      </c>
      <c r="C76" s="8" t="s">
        <v>272</v>
      </c>
      <c r="D76" s="8" t="s">
        <v>39</v>
      </c>
      <c r="E76" s="8" t="s">
        <v>33</v>
      </c>
      <c r="F76" s="8" t="s">
        <v>34</v>
      </c>
      <c r="G76" s="8" t="s">
        <v>174</v>
      </c>
      <c r="H76" s="8" t="s">
        <v>273</v>
      </c>
      <c r="I76" s="8">
        <v>7.98</v>
      </c>
      <c r="J76" s="8">
        <v>3</v>
      </c>
      <c r="K76" s="8">
        <v>0</v>
      </c>
      <c r="L76" s="8">
        <v>2.0748000000000002</v>
      </c>
    </row>
    <row r="77" spans="1:12" x14ac:dyDescent="0.25">
      <c r="A77" s="8" t="s">
        <v>274</v>
      </c>
      <c r="B77" s="9">
        <v>45624</v>
      </c>
      <c r="C77" s="8" t="s">
        <v>275</v>
      </c>
      <c r="D77" s="8" t="s">
        <v>32</v>
      </c>
      <c r="E77" s="8" t="s">
        <v>40</v>
      </c>
      <c r="F77" s="8" t="s">
        <v>41</v>
      </c>
      <c r="G77" s="8" t="s">
        <v>42</v>
      </c>
      <c r="H77" s="8" t="s">
        <v>276</v>
      </c>
      <c r="I77" s="8">
        <v>647.904</v>
      </c>
      <c r="J77" s="8">
        <v>6</v>
      </c>
      <c r="K77" s="8">
        <v>0.2</v>
      </c>
      <c r="L77" s="8">
        <v>56.691600000000001</v>
      </c>
    </row>
    <row r="78" spans="1:12" x14ac:dyDescent="0.25">
      <c r="A78" s="8" t="s">
        <v>277</v>
      </c>
      <c r="B78" s="9">
        <v>45024</v>
      </c>
      <c r="C78" s="8" t="s">
        <v>278</v>
      </c>
      <c r="D78" s="8" t="s">
        <v>46</v>
      </c>
      <c r="E78" s="8" t="s">
        <v>75</v>
      </c>
      <c r="F78" s="8" t="s">
        <v>34</v>
      </c>
      <c r="G78" s="8" t="s">
        <v>134</v>
      </c>
      <c r="H78" s="8" t="s">
        <v>279</v>
      </c>
      <c r="I78" s="8">
        <v>49.792000000000002</v>
      </c>
      <c r="J78" s="8">
        <v>8</v>
      </c>
      <c r="K78" s="8">
        <v>0.2</v>
      </c>
      <c r="L78" s="8">
        <v>-11.8256</v>
      </c>
    </row>
    <row r="79" spans="1:12" x14ac:dyDescent="0.25">
      <c r="A79" s="8" t="s">
        <v>280</v>
      </c>
      <c r="B79" s="9">
        <v>45340</v>
      </c>
      <c r="C79" s="8" t="s">
        <v>281</v>
      </c>
      <c r="D79" s="8" t="s">
        <v>32</v>
      </c>
      <c r="E79" s="8" t="s">
        <v>75</v>
      </c>
      <c r="F79" s="8" t="s">
        <v>34</v>
      </c>
      <c r="G79" s="8" t="s">
        <v>102</v>
      </c>
      <c r="H79" s="8" t="s">
        <v>282</v>
      </c>
      <c r="I79" s="8">
        <v>9.24</v>
      </c>
      <c r="J79" s="8">
        <v>3</v>
      </c>
      <c r="K79" s="8">
        <v>0</v>
      </c>
      <c r="L79" s="8">
        <v>4.4352</v>
      </c>
    </row>
    <row r="80" spans="1:12" x14ac:dyDescent="0.25">
      <c r="A80" s="8" t="s">
        <v>283</v>
      </c>
      <c r="B80" s="9">
        <v>45395</v>
      </c>
      <c r="C80" s="8" t="s">
        <v>284</v>
      </c>
      <c r="D80" s="8" t="s">
        <v>32</v>
      </c>
      <c r="E80" s="8" t="s">
        <v>75</v>
      </c>
      <c r="F80" s="8" t="s">
        <v>41</v>
      </c>
      <c r="G80" s="8" t="s">
        <v>42</v>
      </c>
      <c r="H80" s="8" t="s">
        <v>285</v>
      </c>
      <c r="I80" s="8">
        <v>258.57600000000002</v>
      </c>
      <c r="J80" s="8">
        <v>2</v>
      </c>
      <c r="K80" s="8">
        <v>0.2</v>
      </c>
      <c r="L80" s="8">
        <v>19.3932</v>
      </c>
    </row>
    <row r="81" spans="1:12" x14ac:dyDescent="0.25">
      <c r="A81" s="8" t="s">
        <v>226</v>
      </c>
      <c r="B81" s="9">
        <v>46357</v>
      </c>
      <c r="C81" s="8" t="s">
        <v>227</v>
      </c>
      <c r="D81" s="8" t="s">
        <v>39</v>
      </c>
      <c r="E81" s="8" t="s">
        <v>75</v>
      </c>
      <c r="F81" s="8" t="s">
        <v>41</v>
      </c>
      <c r="G81" s="8" t="s">
        <v>42</v>
      </c>
      <c r="H81" s="8" t="s">
        <v>286</v>
      </c>
      <c r="I81" s="8">
        <v>406.36799999999999</v>
      </c>
      <c r="J81" s="8">
        <v>4</v>
      </c>
      <c r="K81" s="8">
        <v>0.2</v>
      </c>
      <c r="L81" s="8">
        <v>30.477599999999999</v>
      </c>
    </row>
    <row r="82" spans="1:12" x14ac:dyDescent="0.25">
      <c r="A82" s="8" t="s">
        <v>287</v>
      </c>
      <c r="B82" s="9">
        <v>45373</v>
      </c>
      <c r="C82" s="8" t="s">
        <v>288</v>
      </c>
      <c r="D82" s="8" t="s">
        <v>39</v>
      </c>
      <c r="E82" s="8" t="s">
        <v>58</v>
      </c>
      <c r="F82" s="8" t="s">
        <v>41</v>
      </c>
      <c r="G82" s="8" t="s">
        <v>76</v>
      </c>
      <c r="H82" s="8" t="s">
        <v>289</v>
      </c>
      <c r="I82" s="8">
        <v>447.94400000000002</v>
      </c>
      <c r="J82" s="8">
        <v>7</v>
      </c>
      <c r="K82" s="8">
        <v>0.2</v>
      </c>
      <c r="L82" s="8">
        <v>89.588800000000006</v>
      </c>
    </row>
    <row r="83" spans="1:12" x14ac:dyDescent="0.25">
      <c r="A83" s="8" t="s">
        <v>290</v>
      </c>
      <c r="B83" s="9">
        <v>44947</v>
      </c>
      <c r="C83" s="8" t="s">
        <v>207</v>
      </c>
      <c r="D83" s="8" t="s">
        <v>32</v>
      </c>
      <c r="E83" s="8" t="s">
        <v>33</v>
      </c>
      <c r="F83" s="8" t="s">
        <v>41</v>
      </c>
      <c r="G83" s="8" t="s">
        <v>42</v>
      </c>
      <c r="H83" s="8" t="s">
        <v>291</v>
      </c>
      <c r="I83" s="8">
        <v>209.5</v>
      </c>
      <c r="J83" s="8">
        <v>10</v>
      </c>
      <c r="K83" s="8">
        <v>0</v>
      </c>
      <c r="L83" s="8">
        <v>58.66</v>
      </c>
    </row>
    <row r="84" spans="1:12" x14ac:dyDescent="0.25">
      <c r="A84" s="8" t="s">
        <v>292</v>
      </c>
      <c r="B84" s="9">
        <v>45370</v>
      </c>
      <c r="C84" s="8" t="s">
        <v>293</v>
      </c>
      <c r="D84" s="8" t="s">
        <v>39</v>
      </c>
      <c r="E84" s="8" t="s">
        <v>58</v>
      </c>
      <c r="F84" s="8" t="s">
        <v>34</v>
      </c>
      <c r="G84" s="8" t="s">
        <v>35</v>
      </c>
      <c r="H84" s="8" t="s">
        <v>294</v>
      </c>
      <c r="I84" s="8">
        <v>14.496</v>
      </c>
      <c r="J84" s="8">
        <v>3</v>
      </c>
      <c r="K84" s="8">
        <v>0.2</v>
      </c>
      <c r="L84" s="8">
        <v>4.8924000000000003</v>
      </c>
    </row>
    <row r="85" spans="1:12" x14ac:dyDescent="0.25">
      <c r="A85" s="8" t="s">
        <v>295</v>
      </c>
      <c r="B85" s="9">
        <v>45916</v>
      </c>
      <c r="C85" s="8" t="s">
        <v>296</v>
      </c>
      <c r="D85" s="8" t="s">
        <v>46</v>
      </c>
      <c r="E85" s="8" t="s">
        <v>75</v>
      </c>
      <c r="F85" s="8" t="s">
        <v>34</v>
      </c>
      <c r="G85" s="8" t="s">
        <v>35</v>
      </c>
      <c r="H85" s="8" t="s">
        <v>297</v>
      </c>
      <c r="I85" s="8">
        <v>12.96</v>
      </c>
      <c r="J85" s="8">
        <v>2</v>
      </c>
      <c r="K85" s="8">
        <v>0</v>
      </c>
      <c r="L85" s="8">
        <v>6.3503999999999996</v>
      </c>
    </row>
    <row r="86" spans="1:12" x14ac:dyDescent="0.25">
      <c r="A86" s="8" t="s">
        <v>298</v>
      </c>
      <c r="B86" s="9">
        <v>45915</v>
      </c>
      <c r="C86" s="8" t="s">
        <v>299</v>
      </c>
      <c r="D86" s="8" t="s">
        <v>39</v>
      </c>
      <c r="E86" s="8" t="s">
        <v>75</v>
      </c>
      <c r="F86" s="8" t="s">
        <v>34</v>
      </c>
      <c r="G86" s="8" t="s">
        <v>174</v>
      </c>
      <c r="H86" s="8" t="s">
        <v>300</v>
      </c>
      <c r="I86" s="8">
        <v>35.4</v>
      </c>
      <c r="J86" s="8">
        <v>5</v>
      </c>
      <c r="K86" s="8">
        <v>0</v>
      </c>
      <c r="L86" s="8">
        <v>13.452</v>
      </c>
    </row>
    <row r="87" spans="1:12" x14ac:dyDescent="0.25">
      <c r="A87" s="8" t="s">
        <v>301</v>
      </c>
      <c r="B87" s="9">
        <v>46318</v>
      </c>
      <c r="C87" s="8" t="s">
        <v>302</v>
      </c>
      <c r="D87" s="8" t="s">
        <v>39</v>
      </c>
      <c r="E87" s="8" t="s">
        <v>58</v>
      </c>
      <c r="F87" s="8" t="s">
        <v>41</v>
      </c>
      <c r="G87" s="8" t="s">
        <v>42</v>
      </c>
      <c r="H87" s="8" t="s">
        <v>303</v>
      </c>
      <c r="I87" s="8">
        <v>863.88</v>
      </c>
      <c r="J87" s="8">
        <v>3</v>
      </c>
      <c r="K87" s="8">
        <v>0.2</v>
      </c>
      <c r="L87" s="8">
        <v>107.985</v>
      </c>
    </row>
    <row r="88" spans="1:12" x14ac:dyDescent="0.25">
      <c r="A88" s="8" t="s">
        <v>290</v>
      </c>
      <c r="B88" s="9">
        <v>44947</v>
      </c>
      <c r="C88" s="8" t="s">
        <v>207</v>
      </c>
      <c r="D88" s="8" t="s">
        <v>32</v>
      </c>
      <c r="E88" s="8" t="s">
        <v>33</v>
      </c>
      <c r="F88" s="8" t="s">
        <v>63</v>
      </c>
      <c r="G88" s="8" t="s">
        <v>86</v>
      </c>
      <c r="H88" s="8" t="s">
        <v>304</v>
      </c>
      <c r="I88" s="8">
        <v>9.48</v>
      </c>
      <c r="J88" s="8">
        <v>1</v>
      </c>
      <c r="K88" s="8">
        <v>0</v>
      </c>
      <c r="L88" s="8">
        <v>3.79</v>
      </c>
    </row>
    <row r="89" spans="1:12" x14ac:dyDescent="0.25">
      <c r="A89" s="8" t="s">
        <v>305</v>
      </c>
      <c r="B89" s="9">
        <v>45748</v>
      </c>
      <c r="C89" s="8" t="s">
        <v>306</v>
      </c>
      <c r="D89" s="8" t="s">
        <v>32</v>
      </c>
      <c r="E89" s="8" t="s">
        <v>33</v>
      </c>
      <c r="F89" s="8" t="s">
        <v>34</v>
      </c>
      <c r="G89" s="8" t="s">
        <v>102</v>
      </c>
      <c r="H89" s="8" t="s">
        <v>307</v>
      </c>
      <c r="I89" s="8">
        <v>20.7</v>
      </c>
      <c r="J89" s="8">
        <v>2</v>
      </c>
      <c r="K89" s="8">
        <v>0</v>
      </c>
      <c r="L89" s="8">
        <v>9.9359999999999999</v>
      </c>
    </row>
    <row r="90" spans="1:12" x14ac:dyDescent="0.25">
      <c r="A90" s="8" t="s">
        <v>148</v>
      </c>
      <c r="B90" s="9">
        <v>45593</v>
      </c>
      <c r="C90" s="8" t="s">
        <v>149</v>
      </c>
      <c r="D90" s="8" t="s">
        <v>39</v>
      </c>
      <c r="E90" s="8" t="s">
        <v>58</v>
      </c>
      <c r="F90" s="8" t="s">
        <v>63</v>
      </c>
      <c r="G90" s="8" t="s">
        <v>86</v>
      </c>
      <c r="H90" s="8" t="s">
        <v>308</v>
      </c>
      <c r="I90" s="8">
        <v>33.11</v>
      </c>
      <c r="J90" s="8">
        <v>7</v>
      </c>
      <c r="K90" s="8">
        <v>0</v>
      </c>
      <c r="L90" s="8">
        <v>12.9129</v>
      </c>
    </row>
    <row r="91" spans="1:12" x14ac:dyDescent="0.25">
      <c r="A91" s="8" t="s">
        <v>44</v>
      </c>
      <c r="B91" s="9">
        <v>45246</v>
      </c>
      <c r="C91" s="8" t="s">
        <v>45</v>
      </c>
      <c r="D91" s="8" t="s">
        <v>46</v>
      </c>
      <c r="E91" s="8" t="s">
        <v>40</v>
      </c>
      <c r="F91" s="8" t="s">
        <v>34</v>
      </c>
      <c r="G91" s="8" t="s">
        <v>59</v>
      </c>
      <c r="H91" s="8" t="s">
        <v>309</v>
      </c>
      <c r="I91" s="8">
        <v>29.12</v>
      </c>
      <c r="J91" s="8">
        <v>4</v>
      </c>
      <c r="K91" s="8">
        <v>0</v>
      </c>
      <c r="L91" s="8">
        <v>14.268800000000001</v>
      </c>
    </row>
    <row r="92" spans="1:12" x14ac:dyDescent="0.25">
      <c r="A92" s="8" t="s">
        <v>310</v>
      </c>
      <c r="B92" s="9">
        <v>45996</v>
      </c>
      <c r="C92" s="8" t="s">
        <v>311</v>
      </c>
      <c r="D92" s="8" t="s">
        <v>32</v>
      </c>
      <c r="E92" s="8" t="s">
        <v>40</v>
      </c>
      <c r="F92" s="8" t="s">
        <v>41</v>
      </c>
      <c r="G92" s="8" t="s">
        <v>42</v>
      </c>
      <c r="H92" s="8" t="s">
        <v>312</v>
      </c>
      <c r="I92" s="8">
        <v>149.97</v>
      </c>
      <c r="J92" s="8">
        <v>3</v>
      </c>
      <c r="K92" s="8">
        <v>0</v>
      </c>
      <c r="L92" s="8">
        <v>5.9987999999999797</v>
      </c>
    </row>
    <row r="93" spans="1:12" x14ac:dyDescent="0.25">
      <c r="A93" s="8" t="s">
        <v>313</v>
      </c>
      <c r="B93" s="9">
        <v>45115</v>
      </c>
      <c r="C93" s="8" t="s">
        <v>314</v>
      </c>
      <c r="D93" s="8" t="s">
        <v>32</v>
      </c>
      <c r="E93" s="8" t="s">
        <v>75</v>
      </c>
      <c r="F93" s="8" t="s">
        <v>34</v>
      </c>
      <c r="G93" s="8" t="s">
        <v>59</v>
      </c>
      <c r="H93" s="8" t="s">
        <v>315</v>
      </c>
      <c r="I93" s="8">
        <v>196.70400000000001</v>
      </c>
      <c r="J93" s="8">
        <v>6</v>
      </c>
      <c r="K93" s="8">
        <v>0.2</v>
      </c>
      <c r="L93" s="8">
        <v>68.846400000000003</v>
      </c>
    </row>
    <row r="94" spans="1:12" x14ac:dyDescent="0.25">
      <c r="A94" s="8" t="s">
        <v>316</v>
      </c>
      <c r="B94" s="9">
        <v>46280</v>
      </c>
      <c r="C94" s="8" t="s">
        <v>317</v>
      </c>
      <c r="D94" s="8" t="s">
        <v>39</v>
      </c>
      <c r="E94" s="8" t="s">
        <v>33</v>
      </c>
      <c r="F94" s="8" t="s">
        <v>41</v>
      </c>
      <c r="G94" s="8" t="s">
        <v>42</v>
      </c>
      <c r="H94" s="8" t="s">
        <v>318</v>
      </c>
      <c r="I94" s="8">
        <v>39.99</v>
      </c>
      <c r="J94" s="8">
        <v>1</v>
      </c>
      <c r="K94" s="8">
        <v>0</v>
      </c>
      <c r="L94" s="8">
        <v>11.597099999999999</v>
      </c>
    </row>
    <row r="95" spans="1:12" x14ac:dyDescent="0.25">
      <c r="A95" s="8" t="s">
        <v>319</v>
      </c>
      <c r="B95" s="9">
        <v>46241</v>
      </c>
      <c r="C95" s="8" t="s">
        <v>320</v>
      </c>
      <c r="D95" s="8" t="s">
        <v>39</v>
      </c>
      <c r="E95" s="8" t="s">
        <v>40</v>
      </c>
      <c r="F95" s="8" t="s">
        <v>41</v>
      </c>
      <c r="G95" s="8" t="s">
        <v>76</v>
      </c>
      <c r="H95" s="8" t="s">
        <v>321</v>
      </c>
      <c r="I95" s="8">
        <v>119.44799999999999</v>
      </c>
      <c r="J95" s="8">
        <v>3</v>
      </c>
      <c r="K95" s="8">
        <v>0.2</v>
      </c>
      <c r="L95" s="8">
        <v>-13.437900000000001</v>
      </c>
    </row>
    <row r="96" spans="1:12" x14ac:dyDescent="0.25">
      <c r="A96" s="8" t="s">
        <v>49</v>
      </c>
      <c r="B96" s="9">
        <v>45248</v>
      </c>
      <c r="C96" s="8" t="s">
        <v>50</v>
      </c>
      <c r="D96" s="8" t="s">
        <v>39</v>
      </c>
      <c r="E96" s="8" t="s">
        <v>40</v>
      </c>
      <c r="F96" s="8" t="s">
        <v>63</v>
      </c>
      <c r="G96" s="8" t="s">
        <v>86</v>
      </c>
      <c r="H96" s="8" t="s">
        <v>322</v>
      </c>
      <c r="I96" s="8">
        <v>8.5440000000000005</v>
      </c>
      <c r="J96" s="8">
        <v>2</v>
      </c>
      <c r="K96" s="8">
        <v>0.6</v>
      </c>
      <c r="L96" s="8">
        <v>-7.476</v>
      </c>
    </row>
    <row r="97" spans="1:12" x14ac:dyDescent="0.25">
      <c r="A97" s="8" t="s">
        <v>323</v>
      </c>
      <c r="B97" s="9">
        <v>46160</v>
      </c>
      <c r="C97" s="8" t="s">
        <v>324</v>
      </c>
      <c r="D97" s="8" t="s">
        <v>32</v>
      </c>
      <c r="E97" s="8" t="s">
        <v>58</v>
      </c>
      <c r="F97" s="8" t="s">
        <v>63</v>
      </c>
      <c r="G97" s="8" t="s">
        <v>325</v>
      </c>
      <c r="H97" s="8" t="s">
        <v>326</v>
      </c>
      <c r="I97" s="8">
        <v>302.94</v>
      </c>
      <c r="J97" s="8">
        <v>3</v>
      </c>
      <c r="K97" s="8">
        <v>0</v>
      </c>
      <c r="L97" s="8">
        <v>75.734999999999999</v>
      </c>
    </row>
    <row r="98" spans="1:12" x14ac:dyDescent="0.25">
      <c r="A98" s="8" t="s">
        <v>327</v>
      </c>
      <c r="B98" s="9">
        <v>46378</v>
      </c>
      <c r="C98" s="8" t="s">
        <v>328</v>
      </c>
      <c r="D98" s="8" t="s">
        <v>39</v>
      </c>
      <c r="E98" s="8" t="s">
        <v>40</v>
      </c>
      <c r="F98" s="8" t="s">
        <v>41</v>
      </c>
      <c r="G98" s="8" t="s">
        <v>76</v>
      </c>
      <c r="H98" s="8" t="s">
        <v>329</v>
      </c>
      <c r="I98" s="8">
        <v>199.95</v>
      </c>
      <c r="J98" s="8">
        <v>5</v>
      </c>
      <c r="K98" s="8">
        <v>0</v>
      </c>
      <c r="L98" s="8">
        <v>63.984000000000002</v>
      </c>
    </row>
    <row r="99" spans="1:12" x14ac:dyDescent="0.25">
      <c r="A99" s="8" t="s">
        <v>330</v>
      </c>
      <c r="B99" s="9">
        <v>45639</v>
      </c>
      <c r="C99" s="8" t="s">
        <v>149</v>
      </c>
      <c r="D99" s="8" t="s">
        <v>39</v>
      </c>
      <c r="E99" s="8" t="s">
        <v>75</v>
      </c>
      <c r="F99" s="8" t="s">
        <v>41</v>
      </c>
      <c r="G99" s="8" t="s">
        <v>76</v>
      </c>
      <c r="H99" s="8" t="s">
        <v>321</v>
      </c>
      <c r="I99" s="8">
        <v>248.85</v>
      </c>
      <c r="J99" s="8">
        <v>5</v>
      </c>
      <c r="K99" s="8">
        <v>0</v>
      </c>
      <c r="L99" s="8">
        <v>27.3735</v>
      </c>
    </row>
    <row r="100" spans="1:12" x14ac:dyDescent="0.25">
      <c r="A100" s="8" t="s">
        <v>331</v>
      </c>
      <c r="B100" s="9">
        <v>46085</v>
      </c>
      <c r="C100" s="8" t="s">
        <v>332</v>
      </c>
      <c r="D100" s="8" t="s">
        <v>46</v>
      </c>
      <c r="E100" s="8" t="s">
        <v>40</v>
      </c>
      <c r="F100" s="8" t="s">
        <v>34</v>
      </c>
      <c r="G100" s="8" t="s">
        <v>47</v>
      </c>
      <c r="H100" s="8" t="s">
        <v>333</v>
      </c>
      <c r="I100" s="8">
        <v>8.7200000000000006</v>
      </c>
      <c r="J100" s="8">
        <v>1</v>
      </c>
      <c r="K100" s="8">
        <v>0.2</v>
      </c>
      <c r="L100" s="8">
        <v>0.65400000000000003</v>
      </c>
    </row>
    <row r="101" spans="1:12" x14ac:dyDescent="0.25">
      <c r="A101" s="8" t="s">
        <v>334</v>
      </c>
      <c r="B101" s="9">
        <v>45182</v>
      </c>
      <c r="C101" s="8" t="s">
        <v>335</v>
      </c>
      <c r="D101" s="8" t="s">
        <v>39</v>
      </c>
      <c r="E101" s="8" t="s">
        <v>75</v>
      </c>
      <c r="F101" s="8" t="s">
        <v>34</v>
      </c>
      <c r="G101" s="8" t="s">
        <v>134</v>
      </c>
      <c r="H101" s="8" t="s">
        <v>336</v>
      </c>
      <c r="I101" s="8">
        <v>5.7</v>
      </c>
      <c r="J101" s="8">
        <v>5</v>
      </c>
      <c r="K101" s="8">
        <v>0</v>
      </c>
      <c r="L101" s="8">
        <v>2.6789999999999998</v>
      </c>
    </row>
    <row r="102" spans="1:12" x14ac:dyDescent="0.25">
      <c r="A102" s="8" t="s">
        <v>337</v>
      </c>
      <c r="B102" s="9">
        <v>46328</v>
      </c>
      <c r="C102" s="8" t="s">
        <v>338</v>
      </c>
      <c r="D102" s="8" t="s">
        <v>32</v>
      </c>
      <c r="E102" s="8" t="s">
        <v>33</v>
      </c>
      <c r="F102" s="8" t="s">
        <v>41</v>
      </c>
      <c r="G102" s="8" t="s">
        <v>42</v>
      </c>
      <c r="H102" s="8" t="s">
        <v>339</v>
      </c>
      <c r="I102" s="8">
        <v>859.2</v>
      </c>
      <c r="J102" s="8">
        <v>4</v>
      </c>
      <c r="K102" s="8">
        <v>0.4</v>
      </c>
      <c r="L102" s="8">
        <v>-186.16</v>
      </c>
    </row>
    <row r="103" spans="1:12" x14ac:dyDescent="0.25">
      <c r="A103" s="8" t="s">
        <v>340</v>
      </c>
      <c r="B103" s="9">
        <v>46177</v>
      </c>
      <c r="C103" s="8" t="s">
        <v>341</v>
      </c>
      <c r="D103" s="8" t="s">
        <v>46</v>
      </c>
      <c r="E103" s="8" t="s">
        <v>58</v>
      </c>
      <c r="F103" s="8" t="s">
        <v>34</v>
      </c>
      <c r="G103" s="8" t="s">
        <v>59</v>
      </c>
      <c r="H103" s="8" t="s">
        <v>342</v>
      </c>
      <c r="I103" s="8">
        <v>108.08</v>
      </c>
      <c r="J103" s="8">
        <v>7</v>
      </c>
      <c r="K103" s="8">
        <v>0</v>
      </c>
      <c r="L103" s="8">
        <v>54.04</v>
      </c>
    </row>
    <row r="104" spans="1:12" x14ac:dyDescent="0.25">
      <c r="A104" s="8" t="s">
        <v>343</v>
      </c>
      <c r="B104" s="9">
        <v>45794</v>
      </c>
      <c r="C104" s="8" t="s">
        <v>344</v>
      </c>
      <c r="D104" s="8" t="s">
        <v>39</v>
      </c>
      <c r="E104" s="8" t="s">
        <v>40</v>
      </c>
      <c r="F104" s="8" t="s">
        <v>63</v>
      </c>
      <c r="G104" s="8" t="s">
        <v>86</v>
      </c>
      <c r="H104" s="8" t="s">
        <v>153</v>
      </c>
      <c r="I104" s="8">
        <v>22.608000000000001</v>
      </c>
      <c r="J104" s="8">
        <v>3</v>
      </c>
      <c r="K104" s="8">
        <v>0.6</v>
      </c>
      <c r="L104" s="8">
        <v>-10.1736</v>
      </c>
    </row>
    <row r="105" spans="1:12" x14ac:dyDescent="0.25">
      <c r="A105" s="8" t="s">
        <v>345</v>
      </c>
      <c r="B105" s="9">
        <v>46094</v>
      </c>
      <c r="C105" s="8" t="s">
        <v>346</v>
      </c>
      <c r="D105" s="8" t="s">
        <v>46</v>
      </c>
      <c r="E105" s="8" t="s">
        <v>75</v>
      </c>
      <c r="F105" s="8" t="s">
        <v>34</v>
      </c>
      <c r="G105" s="8" t="s">
        <v>35</v>
      </c>
      <c r="H105" s="8" t="s">
        <v>347</v>
      </c>
      <c r="I105" s="8">
        <v>45.36</v>
      </c>
      <c r="J105" s="8">
        <v>7</v>
      </c>
      <c r="K105" s="8">
        <v>0</v>
      </c>
      <c r="L105" s="8">
        <v>21.7728</v>
      </c>
    </row>
    <row r="106" spans="1:12" x14ac:dyDescent="0.25">
      <c r="A106" s="8" t="s">
        <v>348</v>
      </c>
      <c r="B106" s="9">
        <v>45860</v>
      </c>
      <c r="C106" s="8" t="s">
        <v>177</v>
      </c>
      <c r="D106" s="8" t="s">
        <v>39</v>
      </c>
      <c r="E106" s="8" t="s">
        <v>40</v>
      </c>
      <c r="F106" s="8" t="s">
        <v>34</v>
      </c>
      <c r="G106" s="8" t="s">
        <v>47</v>
      </c>
      <c r="H106" s="8" t="s">
        <v>349</v>
      </c>
      <c r="I106" s="8">
        <v>965.85</v>
      </c>
      <c r="J106" s="8">
        <v>5</v>
      </c>
      <c r="K106" s="8">
        <v>0</v>
      </c>
      <c r="L106" s="8">
        <v>135.21899999999999</v>
      </c>
    </row>
    <row r="107" spans="1:12" x14ac:dyDescent="0.25">
      <c r="A107" s="8" t="s">
        <v>350</v>
      </c>
      <c r="B107" s="9">
        <v>46022</v>
      </c>
      <c r="C107" s="8" t="s">
        <v>351</v>
      </c>
      <c r="D107" s="8" t="s">
        <v>39</v>
      </c>
      <c r="E107" s="8" t="s">
        <v>33</v>
      </c>
      <c r="F107" s="8" t="s">
        <v>34</v>
      </c>
      <c r="G107" s="8" t="s">
        <v>47</v>
      </c>
      <c r="H107" s="8" t="s">
        <v>352</v>
      </c>
      <c r="I107" s="8">
        <v>156.512</v>
      </c>
      <c r="J107" s="8">
        <v>4</v>
      </c>
      <c r="K107" s="8">
        <v>0.2</v>
      </c>
      <c r="L107" s="8">
        <v>-35.215200000000003</v>
      </c>
    </row>
    <row r="108" spans="1:12" x14ac:dyDescent="0.25">
      <c r="A108" s="8" t="s">
        <v>353</v>
      </c>
      <c r="B108" s="9">
        <v>45014</v>
      </c>
      <c r="C108" s="8" t="s">
        <v>354</v>
      </c>
      <c r="D108" s="8" t="s">
        <v>39</v>
      </c>
      <c r="E108" s="8" t="s">
        <v>40</v>
      </c>
      <c r="F108" s="8" t="s">
        <v>63</v>
      </c>
      <c r="G108" s="8" t="s">
        <v>355</v>
      </c>
      <c r="H108" s="8" t="s">
        <v>356</v>
      </c>
      <c r="I108" s="8">
        <v>890.84100000000001</v>
      </c>
      <c r="J108" s="8">
        <v>3</v>
      </c>
      <c r="K108" s="8">
        <v>0.3</v>
      </c>
      <c r="L108" s="8">
        <v>-152.71559999999999</v>
      </c>
    </row>
    <row r="109" spans="1:12" x14ac:dyDescent="0.25">
      <c r="A109" s="8" t="s">
        <v>357</v>
      </c>
      <c r="B109" s="9">
        <v>46038</v>
      </c>
      <c r="C109" s="8" t="s">
        <v>358</v>
      </c>
      <c r="D109" s="8" t="s">
        <v>39</v>
      </c>
      <c r="E109" s="8" t="s">
        <v>40</v>
      </c>
      <c r="F109" s="8" t="s">
        <v>34</v>
      </c>
      <c r="G109" s="8" t="s">
        <v>35</v>
      </c>
      <c r="H109" s="8" t="s">
        <v>359</v>
      </c>
      <c r="I109" s="8">
        <v>56.07</v>
      </c>
      <c r="J109" s="8">
        <v>7</v>
      </c>
      <c r="K109" s="8">
        <v>0</v>
      </c>
      <c r="L109" s="8">
        <v>25.2315</v>
      </c>
    </row>
    <row r="110" spans="1:12" x14ac:dyDescent="0.25">
      <c r="A110" s="8" t="s">
        <v>360</v>
      </c>
      <c r="B110" s="9">
        <v>45857</v>
      </c>
      <c r="C110" s="8" t="s">
        <v>361</v>
      </c>
      <c r="D110" s="8" t="s">
        <v>39</v>
      </c>
      <c r="E110" s="8" t="s">
        <v>58</v>
      </c>
      <c r="F110" s="8" t="s">
        <v>63</v>
      </c>
      <c r="G110" s="8" t="s">
        <v>325</v>
      </c>
      <c r="H110" s="8" t="s">
        <v>326</v>
      </c>
      <c r="I110" s="8">
        <v>504.9</v>
      </c>
      <c r="J110" s="8">
        <v>5</v>
      </c>
      <c r="K110" s="8">
        <v>0</v>
      </c>
      <c r="L110" s="8">
        <v>126.22499999999999</v>
      </c>
    </row>
    <row r="111" spans="1:12" x14ac:dyDescent="0.25">
      <c r="A111" s="8" t="s">
        <v>362</v>
      </c>
      <c r="B111" s="9">
        <v>45943</v>
      </c>
      <c r="C111" s="8" t="s">
        <v>363</v>
      </c>
      <c r="D111" s="8" t="s">
        <v>39</v>
      </c>
      <c r="E111" s="8" t="s">
        <v>40</v>
      </c>
      <c r="F111" s="8" t="s">
        <v>63</v>
      </c>
      <c r="G111" s="8" t="s">
        <v>86</v>
      </c>
      <c r="H111" s="8" t="s">
        <v>364</v>
      </c>
      <c r="I111" s="8">
        <v>139.91999999999999</v>
      </c>
      <c r="J111" s="8">
        <v>5</v>
      </c>
      <c r="K111" s="8">
        <v>0.6</v>
      </c>
      <c r="L111" s="8">
        <v>-150.41399999999999</v>
      </c>
    </row>
    <row r="112" spans="1:12" x14ac:dyDescent="0.25">
      <c r="A112" s="8" t="s">
        <v>365</v>
      </c>
      <c r="B112" s="9">
        <v>46381</v>
      </c>
      <c r="C112" s="8" t="s">
        <v>366</v>
      </c>
      <c r="D112" s="8" t="s">
        <v>39</v>
      </c>
      <c r="E112" s="8" t="s">
        <v>58</v>
      </c>
      <c r="F112" s="8" t="s">
        <v>41</v>
      </c>
      <c r="G112" s="8" t="s">
        <v>367</v>
      </c>
      <c r="H112" s="8" t="s">
        <v>368</v>
      </c>
      <c r="I112" s="8">
        <v>120</v>
      </c>
      <c r="J112" s="8">
        <v>2</v>
      </c>
      <c r="K112" s="8">
        <v>0.5</v>
      </c>
      <c r="L112" s="8">
        <v>-7.2</v>
      </c>
    </row>
    <row r="113" spans="1:12" x14ac:dyDescent="0.25">
      <c r="A113" s="8" t="s">
        <v>369</v>
      </c>
      <c r="B113" s="9">
        <v>46374</v>
      </c>
      <c r="C113" s="8" t="s">
        <v>252</v>
      </c>
      <c r="D113" s="8" t="s">
        <v>39</v>
      </c>
      <c r="E113" s="8" t="s">
        <v>33</v>
      </c>
      <c r="F113" s="8" t="s">
        <v>34</v>
      </c>
      <c r="G113" s="8" t="s">
        <v>59</v>
      </c>
      <c r="H113" s="8" t="s">
        <v>370</v>
      </c>
      <c r="I113" s="8">
        <v>7.2359999999999998</v>
      </c>
      <c r="J113" s="8">
        <v>3</v>
      </c>
      <c r="K113" s="8">
        <v>0.7</v>
      </c>
      <c r="L113" s="8">
        <v>-6.03</v>
      </c>
    </row>
    <row r="114" spans="1:12" x14ac:dyDescent="0.25">
      <c r="A114" s="8" t="s">
        <v>371</v>
      </c>
      <c r="B114" s="9">
        <v>46295</v>
      </c>
      <c r="C114" s="8" t="s">
        <v>372</v>
      </c>
      <c r="D114" s="8" t="s">
        <v>32</v>
      </c>
      <c r="E114" s="8" t="s">
        <v>75</v>
      </c>
      <c r="F114" s="8" t="s">
        <v>34</v>
      </c>
      <c r="G114" s="8" t="s">
        <v>54</v>
      </c>
      <c r="H114" s="8" t="s">
        <v>373</v>
      </c>
      <c r="I114" s="8">
        <v>3.89</v>
      </c>
      <c r="J114" s="8">
        <v>1</v>
      </c>
      <c r="K114" s="8">
        <v>0</v>
      </c>
      <c r="L114" s="8">
        <v>1.0114000000000001</v>
      </c>
    </row>
    <row r="115" spans="1:12" x14ac:dyDescent="0.25">
      <c r="A115" s="8" t="s">
        <v>374</v>
      </c>
      <c r="B115" s="9">
        <v>44946</v>
      </c>
      <c r="C115" s="8" t="s">
        <v>375</v>
      </c>
      <c r="D115" s="8" t="s">
        <v>39</v>
      </c>
      <c r="E115" s="8" t="s">
        <v>40</v>
      </c>
      <c r="F115" s="8" t="s">
        <v>34</v>
      </c>
      <c r="G115" s="8" t="s">
        <v>59</v>
      </c>
      <c r="H115" s="8" t="s">
        <v>119</v>
      </c>
      <c r="I115" s="8">
        <v>19.05</v>
      </c>
      <c r="J115" s="8">
        <v>5</v>
      </c>
      <c r="K115" s="8">
        <v>0</v>
      </c>
      <c r="L115" s="8">
        <v>8.9535</v>
      </c>
    </row>
    <row r="116" spans="1:12" x14ac:dyDescent="0.25">
      <c r="A116" s="8" t="s">
        <v>376</v>
      </c>
      <c r="B116" s="9">
        <v>46378</v>
      </c>
      <c r="C116" s="8" t="s">
        <v>377</v>
      </c>
      <c r="D116" s="8" t="s">
        <v>32</v>
      </c>
      <c r="E116" s="8" t="s">
        <v>75</v>
      </c>
      <c r="F116" s="8" t="s">
        <v>41</v>
      </c>
      <c r="G116" s="8" t="s">
        <v>42</v>
      </c>
      <c r="H116" s="8" t="s">
        <v>291</v>
      </c>
      <c r="I116" s="8">
        <v>67.040000000000006</v>
      </c>
      <c r="J116" s="8">
        <v>4</v>
      </c>
      <c r="K116" s="8">
        <v>0.2</v>
      </c>
      <c r="L116" s="8">
        <v>6.7039999999999997</v>
      </c>
    </row>
    <row r="117" spans="1:12" x14ac:dyDescent="0.25">
      <c r="A117" s="8" t="s">
        <v>378</v>
      </c>
      <c r="B117" s="9">
        <v>45393</v>
      </c>
      <c r="C117" s="8" t="s">
        <v>358</v>
      </c>
      <c r="D117" s="8" t="s">
        <v>39</v>
      </c>
      <c r="E117" s="8" t="s">
        <v>75</v>
      </c>
      <c r="F117" s="8" t="s">
        <v>34</v>
      </c>
      <c r="G117" s="8" t="s">
        <v>35</v>
      </c>
      <c r="H117" s="8" t="s">
        <v>379</v>
      </c>
      <c r="I117" s="8">
        <v>52.76</v>
      </c>
      <c r="J117" s="8">
        <v>2</v>
      </c>
      <c r="K117" s="8">
        <v>0</v>
      </c>
      <c r="L117" s="8">
        <v>24.269600000000001</v>
      </c>
    </row>
    <row r="118" spans="1:12" x14ac:dyDescent="0.25">
      <c r="A118" s="8" t="s">
        <v>380</v>
      </c>
      <c r="B118" s="9">
        <v>45993</v>
      </c>
      <c r="C118" s="8" t="s">
        <v>381</v>
      </c>
      <c r="D118" s="8" t="s">
        <v>32</v>
      </c>
      <c r="E118" s="8" t="s">
        <v>33</v>
      </c>
      <c r="F118" s="8" t="s">
        <v>34</v>
      </c>
      <c r="G118" s="8" t="s">
        <v>174</v>
      </c>
      <c r="H118" s="8" t="s">
        <v>382</v>
      </c>
      <c r="I118" s="8">
        <v>16.463999999999999</v>
      </c>
      <c r="J118" s="8">
        <v>7</v>
      </c>
      <c r="K118" s="8">
        <v>0.2</v>
      </c>
      <c r="L118" s="8">
        <v>2.4405999999999999</v>
      </c>
    </row>
    <row r="119" spans="1:12" x14ac:dyDescent="0.25">
      <c r="A119" s="8" t="s">
        <v>383</v>
      </c>
      <c r="B119" s="9">
        <v>45266</v>
      </c>
      <c r="C119" s="8" t="s">
        <v>384</v>
      </c>
      <c r="D119" s="8" t="s">
        <v>39</v>
      </c>
      <c r="E119" s="8" t="s">
        <v>40</v>
      </c>
      <c r="F119" s="8" t="s">
        <v>34</v>
      </c>
      <c r="G119" s="8" t="s">
        <v>47</v>
      </c>
      <c r="H119" s="8" t="s">
        <v>385</v>
      </c>
      <c r="I119" s="8">
        <v>35.167999999999999</v>
      </c>
      <c r="J119" s="8">
        <v>2</v>
      </c>
      <c r="K119" s="8">
        <v>0.2</v>
      </c>
      <c r="L119" s="8">
        <v>-8.3523999999999994</v>
      </c>
    </row>
    <row r="120" spans="1:12" x14ac:dyDescent="0.25">
      <c r="A120" s="8" t="s">
        <v>386</v>
      </c>
      <c r="B120" s="9">
        <v>45852</v>
      </c>
      <c r="C120" s="8" t="s">
        <v>387</v>
      </c>
      <c r="D120" s="8" t="s">
        <v>32</v>
      </c>
      <c r="E120" s="8" t="s">
        <v>33</v>
      </c>
      <c r="F120" s="8" t="s">
        <v>34</v>
      </c>
      <c r="G120" s="8" t="s">
        <v>134</v>
      </c>
      <c r="H120" s="8" t="s">
        <v>388</v>
      </c>
      <c r="I120" s="8">
        <v>14.07</v>
      </c>
      <c r="J120" s="8">
        <v>7</v>
      </c>
      <c r="K120" s="8">
        <v>0</v>
      </c>
      <c r="L120" s="8">
        <v>6.8943000000000003</v>
      </c>
    </row>
    <row r="121" spans="1:12" x14ac:dyDescent="0.25">
      <c r="A121" s="8" t="s">
        <v>389</v>
      </c>
      <c r="B121" s="9">
        <v>45384</v>
      </c>
      <c r="C121" s="8" t="s">
        <v>372</v>
      </c>
      <c r="D121" s="8" t="s">
        <v>32</v>
      </c>
      <c r="E121" s="8" t="s">
        <v>40</v>
      </c>
      <c r="F121" s="8" t="s">
        <v>34</v>
      </c>
      <c r="G121" s="8" t="s">
        <v>59</v>
      </c>
      <c r="H121" s="8" t="s">
        <v>390</v>
      </c>
      <c r="I121" s="8">
        <v>9.1560000000000006</v>
      </c>
      <c r="J121" s="8">
        <v>3</v>
      </c>
      <c r="K121" s="8">
        <v>0.8</v>
      </c>
      <c r="L121" s="8">
        <v>-13.734</v>
      </c>
    </row>
    <row r="122" spans="1:12" x14ac:dyDescent="0.25">
      <c r="A122" s="8" t="s">
        <v>391</v>
      </c>
      <c r="B122" s="9">
        <v>45420</v>
      </c>
      <c r="C122" s="8" t="s">
        <v>392</v>
      </c>
      <c r="D122" s="8" t="s">
        <v>39</v>
      </c>
      <c r="E122" s="8" t="s">
        <v>40</v>
      </c>
      <c r="F122" s="8" t="s">
        <v>41</v>
      </c>
      <c r="G122" s="8" t="s">
        <v>42</v>
      </c>
      <c r="H122" s="8" t="s">
        <v>393</v>
      </c>
      <c r="I122" s="8">
        <v>377.97</v>
      </c>
      <c r="J122" s="8">
        <v>3</v>
      </c>
      <c r="K122" s="8">
        <v>0</v>
      </c>
      <c r="L122" s="8">
        <v>105.83159999999999</v>
      </c>
    </row>
    <row r="123" spans="1:12" x14ac:dyDescent="0.25">
      <c r="A123" s="8" t="s">
        <v>394</v>
      </c>
      <c r="B123" s="9">
        <v>45570</v>
      </c>
      <c r="C123" s="8" t="s">
        <v>395</v>
      </c>
      <c r="D123" s="8" t="s">
        <v>46</v>
      </c>
      <c r="E123" s="8" t="s">
        <v>58</v>
      </c>
      <c r="F123" s="8" t="s">
        <v>34</v>
      </c>
      <c r="G123" s="8" t="s">
        <v>174</v>
      </c>
      <c r="H123" s="8" t="s">
        <v>396</v>
      </c>
      <c r="I123" s="8">
        <v>46.2</v>
      </c>
      <c r="J123" s="8">
        <v>4</v>
      </c>
      <c r="K123" s="8">
        <v>0</v>
      </c>
      <c r="L123" s="8">
        <v>12.936</v>
      </c>
    </row>
    <row r="124" spans="1:12" x14ac:dyDescent="0.25">
      <c r="A124" s="8" t="s">
        <v>397</v>
      </c>
      <c r="B124" s="9">
        <v>45988</v>
      </c>
      <c r="C124" s="8" t="s">
        <v>398</v>
      </c>
      <c r="D124" s="8" t="s">
        <v>32</v>
      </c>
      <c r="E124" s="8" t="s">
        <v>40</v>
      </c>
      <c r="F124" s="8" t="s">
        <v>34</v>
      </c>
      <c r="G124" s="8" t="s">
        <v>54</v>
      </c>
      <c r="H124" s="8" t="s">
        <v>399</v>
      </c>
      <c r="I124" s="8">
        <v>167.292</v>
      </c>
      <c r="J124" s="8">
        <v>6</v>
      </c>
      <c r="K124" s="8">
        <v>0.1</v>
      </c>
      <c r="L124" s="8">
        <v>29.7408</v>
      </c>
    </row>
    <row r="125" spans="1:12" x14ac:dyDescent="0.25">
      <c r="A125" s="8" t="s">
        <v>400</v>
      </c>
      <c r="B125" s="9">
        <v>45387</v>
      </c>
      <c r="C125" s="8" t="s">
        <v>401</v>
      </c>
      <c r="D125" s="8" t="s">
        <v>46</v>
      </c>
      <c r="E125" s="8" t="s">
        <v>33</v>
      </c>
      <c r="F125" s="8" t="s">
        <v>63</v>
      </c>
      <c r="G125" s="8" t="s">
        <v>86</v>
      </c>
      <c r="H125" s="8" t="s">
        <v>402</v>
      </c>
      <c r="I125" s="8">
        <v>547.13599999999997</v>
      </c>
      <c r="J125" s="8">
        <v>4</v>
      </c>
      <c r="K125" s="8">
        <v>0.2</v>
      </c>
      <c r="L125" s="8">
        <v>-68.392000000000095</v>
      </c>
    </row>
    <row r="126" spans="1:12" x14ac:dyDescent="0.25">
      <c r="A126" s="8" t="s">
        <v>403</v>
      </c>
      <c r="B126" s="9">
        <v>45583</v>
      </c>
      <c r="C126" s="8" t="s">
        <v>404</v>
      </c>
      <c r="D126" s="8" t="s">
        <v>46</v>
      </c>
      <c r="E126" s="8" t="s">
        <v>40</v>
      </c>
      <c r="F126" s="8" t="s">
        <v>41</v>
      </c>
      <c r="G126" s="8" t="s">
        <v>76</v>
      </c>
      <c r="H126" s="8" t="s">
        <v>405</v>
      </c>
      <c r="I126" s="8">
        <v>27.696000000000002</v>
      </c>
      <c r="J126" s="8">
        <v>3</v>
      </c>
      <c r="K126" s="8">
        <v>0.2</v>
      </c>
      <c r="L126" s="8">
        <v>3.4620000000000002</v>
      </c>
    </row>
    <row r="127" spans="1:12" x14ac:dyDescent="0.25">
      <c r="A127" s="8" t="s">
        <v>406</v>
      </c>
      <c r="B127" s="9">
        <v>46385</v>
      </c>
      <c r="C127" s="8" t="s">
        <v>407</v>
      </c>
      <c r="D127" s="8" t="s">
        <v>39</v>
      </c>
      <c r="E127" s="8" t="s">
        <v>75</v>
      </c>
      <c r="F127" s="8" t="s">
        <v>34</v>
      </c>
      <c r="G127" s="8" t="s">
        <v>134</v>
      </c>
      <c r="H127" s="8" t="s">
        <v>408</v>
      </c>
      <c r="I127" s="8">
        <v>19.600000000000001</v>
      </c>
      <c r="J127" s="8">
        <v>5</v>
      </c>
      <c r="K127" s="8">
        <v>0</v>
      </c>
      <c r="L127" s="8">
        <v>9.6039999999999992</v>
      </c>
    </row>
    <row r="128" spans="1:12" x14ac:dyDescent="0.25">
      <c r="A128" s="8" t="s">
        <v>409</v>
      </c>
      <c r="B128" s="9">
        <v>46269</v>
      </c>
      <c r="C128" s="8" t="s">
        <v>192</v>
      </c>
      <c r="D128" s="8" t="s">
        <v>32</v>
      </c>
      <c r="E128" s="8" t="s">
        <v>75</v>
      </c>
      <c r="F128" s="8" t="s">
        <v>34</v>
      </c>
      <c r="G128" s="8" t="s">
        <v>59</v>
      </c>
      <c r="H128" s="8" t="s">
        <v>410</v>
      </c>
      <c r="I128" s="8">
        <v>11.808</v>
      </c>
      <c r="J128" s="8">
        <v>3</v>
      </c>
      <c r="K128" s="8">
        <v>0.2</v>
      </c>
      <c r="L128" s="8">
        <v>4.1327999999999996</v>
      </c>
    </row>
    <row r="129" spans="1:12" x14ac:dyDescent="0.25">
      <c r="A129" s="8" t="s">
        <v>411</v>
      </c>
      <c r="B129" s="9">
        <v>45757</v>
      </c>
      <c r="C129" s="8" t="s">
        <v>412</v>
      </c>
      <c r="D129" s="8" t="s">
        <v>39</v>
      </c>
      <c r="E129" s="8" t="s">
        <v>75</v>
      </c>
      <c r="F129" s="8" t="s">
        <v>34</v>
      </c>
      <c r="G129" s="8" t="s">
        <v>47</v>
      </c>
      <c r="H129" s="8" t="s">
        <v>349</v>
      </c>
      <c r="I129" s="8">
        <v>579.51</v>
      </c>
      <c r="J129" s="8">
        <v>3</v>
      </c>
      <c r="K129" s="8">
        <v>0</v>
      </c>
      <c r="L129" s="8">
        <v>81.131399999999999</v>
      </c>
    </row>
    <row r="130" spans="1:12" x14ac:dyDescent="0.25">
      <c r="A130" s="8" t="s">
        <v>413</v>
      </c>
      <c r="B130" s="9">
        <v>45584</v>
      </c>
      <c r="C130" s="8" t="s">
        <v>414</v>
      </c>
      <c r="D130" s="8" t="s">
        <v>39</v>
      </c>
      <c r="E130" s="8" t="s">
        <v>40</v>
      </c>
      <c r="F130" s="8" t="s">
        <v>34</v>
      </c>
      <c r="G130" s="8" t="s">
        <v>59</v>
      </c>
      <c r="H130" s="8" t="s">
        <v>415</v>
      </c>
      <c r="I130" s="8">
        <v>1.72</v>
      </c>
      <c r="J130" s="8">
        <v>1</v>
      </c>
      <c r="K130" s="8">
        <v>0.8</v>
      </c>
      <c r="L130" s="8">
        <v>-2.8380000000000001</v>
      </c>
    </row>
    <row r="131" spans="1:12" x14ac:dyDescent="0.25">
      <c r="A131" s="8" t="s">
        <v>416</v>
      </c>
      <c r="B131" s="9">
        <v>45645</v>
      </c>
      <c r="C131" s="8" t="s">
        <v>417</v>
      </c>
      <c r="D131" s="8" t="s">
        <v>46</v>
      </c>
      <c r="E131" s="8" t="s">
        <v>40</v>
      </c>
      <c r="F131" s="8" t="s">
        <v>41</v>
      </c>
      <c r="G131" s="8" t="s">
        <v>76</v>
      </c>
      <c r="H131" s="8" t="s">
        <v>418</v>
      </c>
      <c r="I131" s="8">
        <v>25.488</v>
      </c>
      <c r="J131" s="8">
        <v>2</v>
      </c>
      <c r="K131" s="8">
        <v>0.2</v>
      </c>
      <c r="L131" s="8">
        <v>4.7789999999999999</v>
      </c>
    </row>
    <row r="132" spans="1:12" x14ac:dyDescent="0.25">
      <c r="A132" s="8" t="s">
        <v>419</v>
      </c>
      <c r="B132" s="9">
        <v>46282</v>
      </c>
      <c r="C132" s="8" t="s">
        <v>420</v>
      </c>
      <c r="D132" s="8" t="s">
        <v>32</v>
      </c>
      <c r="E132" s="8" t="s">
        <v>75</v>
      </c>
      <c r="F132" s="8" t="s">
        <v>34</v>
      </c>
      <c r="G132" s="8" t="s">
        <v>59</v>
      </c>
      <c r="H132" s="8" t="s">
        <v>421</v>
      </c>
      <c r="I132" s="8">
        <v>11.784000000000001</v>
      </c>
      <c r="J132" s="8">
        <v>3</v>
      </c>
      <c r="K132" s="8">
        <v>0.2</v>
      </c>
      <c r="L132" s="8">
        <v>4.2717000000000001</v>
      </c>
    </row>
    <row r="133" spans="1:12" x14ac:dyDescent="0.25">
      <c r="A133" s="8" t="s">
        <v>422</v>
      </c>
      <c r="B133" s="9">
        <v>45528</v>
      </c>
      <c r="C133" s="8" t="s">
        <v>143</v>
      </c>
      <c r="D133" s="8" t="s">
        <v>39</v>
      </c>
      <c r="E133" s="8" t="s">
        <v>58</v>
      </c>
      <c r="F133" s="8" t="s">
        <v>41</v>
      </c>
      <c r="G133" s="8" t="s">
        <v>76</v>
      </c>
      <c r="H133" s="8" t="s">
        <v>423</v>
      </c>
      <c r="I133" s="8">
        <v>79.959999999999994</v>
      </c>
      <c r="J133" s="8">
        <v>4</v>
      </c>
      <c r="K133" s="8">
        <v>0</v>
      </c>
      <c r="L133" s="8">
        <v>18.390799999999999</v>
      </c>
    </row>
    <row r="134" spans="1:12" x14ac:dyDescent="0.25">
      <c r="A134" s="8" t="s">
        <v>424</v>
      </c>
      <c r="B134" s="9">
        <v>45619</v>
      </c>
      <c r="C134" s="8" t="s">
        <v>425</v>
      </c>
      <c r="D134" s="8" t="s">
        <v>39</v>
      </c>
      <c r="E134" s="8" t="s">
        <v>33</v>
      </c>
      <c r="F134" s="8" t="s">
        <v>34</v>
      </c>
      <c r="G134" s="8" t="s">
        <v>35</v>
      </c>
      <c r="H134" s="8" t="s">
        <v>426</v>
      </c>
      <c r="I134" s="8">
        <v>44.1</v>
      </c>
      <c r="J134" s="8">
        <v>6</v>
      </c>
      <c r="K134" s="8">
        <v>0</v>
      </c>
      <c r="L134" s="8">
        <v>20.727</v>
      </c>
    </row>
    <row r="135" spans="1:12" x14ac:dyDescent="0.25">
      <c r="A135" s="8" t="s">
        <v>427</v>
      </c>
      <c r="B135" s="9">
        <v>45601</v>
      </c>
      <c r="C135" s="8" t="s">
        <v>428</v>
      </c>
      <c r="D135" s="8" t="s">
        <v>32</v>
      </c>
      <c r="E135" s="8" t="s">
        <v>58</v>
      </c>
      <c r="F135" s="8" t="s">
        <v>63</v>
      </c>
      <c r="G135" s="8" t="s">
        <v>64</v>
      </c>
      <c r="H135" s="8" t="s">
        <v>429</v>
      </c>
      <c r="I135" s="8">
        <v>207</v>
      </c>
      <c r="J135" s="8">
        <v>3</v>
      </c>
      <c r="K135" s="8">
        <v>0.2</v>
      </c>
      <c r="L135" s="8">
        <v>25.875</v>
      </c>
    </row>
    <row r="136" spans="1:12" x14ac:dyDescent="0.25">
      <c r="A136" s="8" t="s">
        <v>430</v>
      </c>
      <c r="B136" s="9">
        <v>45605</v>
      </c>
      <c r="C136" s="8" t="s">
        <v>431</v>
      </c>
      <c r="D136" s="8" t="s">
        <v>46</v>
      </c>
      <c r="E136" s="8" t="s">
        <v>40</v>
      </c>
      <c r="F136" s="8" t="s">
        <v>34</v>
      </c>
      <c r="G136" s="8" t="s">
        <v>59</v>
      </c>
      <c r="H136" s="8" t="s">
        <v>432</v>
      </c>
      <c r="I136" s="8">
        <v>10.74</v>
      </c>
      <c r="J136" s="8">
        <v>3</v>
      </c>
      <c r="K136" s="8">
        <v>0</v>
      </c>
      <c r="L136" s="8">
        <v>5.1551999999999998</v>
      </c>
    </row>
    <row r="137" spans="1:12" x14ac:dyDescent="0.25">
      <c r="A137" s="8" t="s">
        <v>433</v>
      </c>
      <c r="B137" s="9">
        <v>45463</v>
      </c>
      <c r="C137" s="8" t="s">
        <v>434</v>
      </c>
      <c r="D137" s="8" t="s">
        <v>32</v>
      </c>
      <c r="E137" s="8" t="s">
        <v>75</v>
      </c>
      <c r="F137" s="8" t="s">
        <v>63</v>
      </c>
      <c r="G137" s="8" t="s">
        <v>86</v>
      </c>
      <c r="H137" s="8" t="s">
        <v>435</v>
      </c>
      <c r="I137" s="8">
        <v>257.64</v>
      </c>
      <c r="J137" s="8">
        <v>6</v>
      </c>
      <c r="K137" s="8">
        <v>0</v>
      </c>
      <c r="L137" s="8">
        <v>100.4796</v>
      </c>
    </row>
    <row r="138" spans="1:12" x14ac:dyDescent="0.25">
      <c r="A138" s="8" t="s">
        <v>436</v>
      </c>
      <c r="B138" s="9">
        <v>45251</v>
      </c>
      <c r="C138" s="8" t="s">
        <v>437</v>
      </c>
      <c r="D138" s="8" t="s">
        <v>32</v>
      </c>
      <c r="E138" s="8" t="s">
        <v>58</v>
      </c>
      <c r="F138" s="8" t="s">
        <v>41</v>
      </c>
      <c r="G138" s="8" t="s">
        <v>42</v>
      </c>
      <c r="H138" s="8" t="s">
        <v>438</v>
      </c>
      <c r="I138" s="8">
        <v>36.99</v>
      </c>
      <c r="J138" s="8">
        <v>1</v>
      </c>
      <c r="K138" s="8">
        <v>0</v>
      </c>
      <c r="L138" s="8">
        <v>9.9872999999999994</v>
      </c>
    </row>
    <row r="139" spans="1:12" x14ac:dyDescent="0.25">
      <c r="A139" s="8" t="s">
        <v>439</v>
      </c>
      <c r="B139" s="9">
        <v>45181</v>
      </c>
      <c r="C139" s="8" t="s">
        <v>440</v>
      </c>
      <c r="D139" s="8" t="s">
        <v>46</v>
      </c>
      <c r="E139" s="8" t="s">
        <v>40</v>
      </c>
      <c r="F139" s="8" t="s">
        <v>34</v>
      </c>
      <c r="G139" s="8" t="s">
        <v>59</v>
      </c>
      <c r="H139" s="8" t="s">
        <v>441</v>
      </c>
      <c r="I139" s="8">
        <v>331.96</v>
      </c>
      <c r="J139" s="8">
        <v>2</v>
      </c>
      <c r="K139" s="8">
        <v>0</v>
      </c>
      <c r="L139" s="8">
        <v>149.38200000000001</v>
      </c>
    </row>
    <row r="140" spans="1:12" x14ac:dyDescent="0.25">
      <c r="A140" s="8" t="s">
        <v>442</v>
      </c>
      <c r="B140" s="9">
        <v>45563</v>
      </c>
      <c r="C140" s="8" t="s">
        <v>443</v>
      </c>
      <c r="D140" s="8" t="s">
        <v>39</v>
      </c>
      <c r="E140" s="8" t="s">
        <v>33</v>
      </c>
      <c r="F140" s="8" t="s">
        <v>41</v>
      </c>
      <c r="G140" s="8" t="s">
        <v>42</v>
      </c>
      <c r="H140" s="8" t="s">
        <v>444</v>
      </c>
      <c r="I140" s="8">
        <v>307.98</v>
      </c>
      <c r="J140" s="8">
        <v>2</v>
      </c>
      <c r="K140" s="8">
        <v>0</v>
      </c>
      <c r="L140" s="8">
        <v>89.3142</v>
      </c>
    </row>
    <row r="141" spans="1:12" x14ac:dyDescent="0.25">
      <c r="A141" s="8" t="s">
        <v>445</v>
      </c>
      <c r="B141" s="9">
        <v>45650</v>
      </c>
      <c r="C141" s="8" t="s">
        <v>446</v>
      </c>
      <c r="D141" s="8" t="s">
        <v>32</v>
      </c>
      <c r="E141" s="8" t="s">
        <v>40</v>
      </c>
      <c r="F141" s="8" t="s">
        <v>63</v>
      </c>
      <c r="G141" s="8" t="s">
        <v>86</v>
      </c>
      <c r="H141" s="8" t="s">
        <v>447</v>
      </c>
      <c r="I141" s="8">
        <v>9.68</v>
      </c>
      <c r="J141" s="8">
        <v>2</v>
      </c>
      <c r="K141" s="8">
        <v>0</v>
      </c>
      <c r="L141" s="8">
        <v>3.7751999999999999</v>
      </c>
    </row>
    <row r="142" spans="1:12" x14ac:dyDescent="0.25">
      <c r="A142" s="8" t="s">
        <v>448</v>
      </c>
      <c r="B142" s="9">
        <v>45288</v>
      </c>
      <c r="C142" s="8" t="s">
        <v>449</v>
      </c>
      <c r="D142" s="8" t="s">
        <v>32</v>
      </c>
      <c r="E142" s="8" t="s">
        <v>33</v>
      </c>
      <c r="F142" s="8" t="s">
        <v>34</v>
      </c>
      <c r="G142" s="8" t="s">
        <v>35</v>
      </c>
      <c r="H142" s="8" t="s">
        <v>450</v>
      </c>
      <c r="I142" s="8">
        <v>141.76</v>
      </c>
      <c r="J142" s="8">
        <v>4</v>
      </c>
      <c r="K142" s="8">
        <v>0</v>
      </c>
      <c r="L142" s="8">
        <v>66.627200000000002</v>
      </c>
    </row>
    <row r="143" spans="1:12" x14ac:dyDescent="0.25">
      <c r="A143" s="8" t="s">
        <v>451</v>
      </c>
      <c r="B143" s="9">
        <v>46283</v>
      </c>
      <c r="C143" s="8" t="s">
        <v>201</v>
      </c>
      <c r="D143" s="8" t="s">
        <v>32</v>
      </c>
      <c r="E143" s="8" t="s">
        <v>75</v>
      </c>
      <c r="F143" s="8" t="s">
        <v>34</v>
      </c>
      <c r="G143" s="8" t="s">
        <v>115</v>
      </c>
      <c r="H143" s="8" t="s">
        <v>452</v>
      </c>
      <c r="I143" s="8">
        <v>10.86</v>
      </c>
      <c r="J143" s="8">
        <v>3</v>
      </c>
      <c r="K143" s="8">
        <v>0</v>
      </c>
      <c r="L143" s="8">
        <v>5.1041999999999996</v>
      </c>
    </row>
    <row r="144" spans="1:12" x14ac:dyDescent="0.25">
      <c r="A144" s="8" t="s">
        <v>453</v>
      </c>
      <c r="B144" s="9">
        <v>45786</v>
      </c>
      <c r="C144" s="8" t="s">
        <v>454</v>
      </c>
      <c r="D144" s="8" t="s">
        <v>39</v>
      </c>
      <c r="E144" s="8" t="s">
        <v>75</v>
      </c>
      <c r="F144" s="8" t="s">
        <v>41</v>
      </c>
      <c r="G144" s="8" t="s">
        <v>76</v>
      </c>
      <c r="H144" s="8" t="s">
        <v>455</v>
      </c>
      <c r="I144" s="8">
        <v>93.98</v>
      </c>
      <c r="J144" s="8">
        <v>2</v>
      </c>
      <c r="K144" s="8">
        <v>0</v>
      </c>
      <c r="L144" s="8">
        <v>13.1572</v>
      </c>
    </row>
    <row r="145" spans="1:12" x14ac:dyDescent="0.25">
      <c r="A145" s="8" t="s">
        <v>456</v>
      </c>
      <c r="B145" s="9">
        <v>46285</v>
      </c>
      <c r="C145" s="8" t="s">
        <v>457</v>
      </c>
      <c r="D145" s="8" t="s">
        <v>39</v>
      </c>
      <c r="E145" s="8" t="s">
        <v>33</v>
      </c>
      <c r="F145" s="8" t="s">
        <v>34</v>
      </c>
      <c r="G145" s="8" t="s">
        <v>35</v>
      </c>
      <c r="H145" s="8" t="s">
        <v>458</v>
      </c>
      <c r="I145" s="8">
        <v>13.76</v>
      </c>
      <c r="J145" s="8">
        <v>2</v>
      </c>
      <c r="K145" s="8">
        <v>0</v>
      </c>
      <c r="L145" s="8">
        <v>6.3296000000000001</v>
      </c>
    </row>
    <row r="146" spans="1:12" x14ac:dyDescent="0.25">
      <c r="A146" s="8" t="s">
        <v>459</v>
      </c>
      <c r="B146" s="9">
        <v>46350</v>
      </c>
      <c r="C146" s="8" t="s">
        <v>460</v>
      </c>
      <c r="D146" s="8" t="s">
        <v>32</v>
      </c>
      <c r="E146" s="8" t="s">
        <v>33</v>
      </c>
      <c r="F146" s="8" t="s">
        <v>63</v>
      </c>
      <c r="G146" s="8" t="s">
        <v>64</v>
      </c>
      <c r="H146" s="8" t="s">
        <v>144</v>
      </c>
      <c r="I146" s="8">
        <v>977.29200000000003</v>
      </c>
      <c r="J146" s="8">
        <v>6</v>
      </c>
      <c r="K146" s="8">
        <v>0.1</v>
      </c>
      <c r="L146" s="8">
        <v>173.74080000000001</v>
      </c>
    </row>
    <row r="147" spans="1:12" x14ac:dyDescent="0.25">
      <c r="A147" s="8" t="s">
        <v>461</v>
      </c>
      <c r="B147" s="9">
        <v>45291</v>
      </c>
      <c r="C147" s="8" t="s">
        <v>462</v>
      </c>
      <c r="D147" s="8" t="s">
        <v>46</v>
      </c>
      <c r="E147" s="8" t="s">
        <v>33</v>
      </c>
      <c r="F147" s="8" t="s">
        <v>63</v>
      </c>
      <c r="G147" s="8" t="s">
        <v>325</v>
      </c>
      <c r="H147" s="8" t="s">
        <v>463</v>
      </c>
      <c r="I147" s="8">
        <v>341.96</v>
      </c>
      <c r="J147" s="8">
        <v>2</v>
      </c>
      <c r="K147" s="8">
        <v>0</v>
      </c>
      <c r="L147" s="8">
        <v>78.650800000000004</v>
      </c>
    </row>
    <row r="148" spans="1:12" x14ac:dyDescent="0.25">
      <c r="A148" s="8" t="s">
        <v>464</v>
      </c>
      <c r="B148" s="9">
        <v>45051</v>
      </c>
      <c r="C148" s="8" t="s">
        <v>465</v>
      </c>
      <c r="D148" s="8" t="s">
        <v>32</v>
      </c>
      <c r="E148" s="8" t="s">
        <v>58</v>
      </c>
      <c r="F148" s="8" t="s">
        <v>34</v>
      </c>
      <c r="G148" s="8" t="s">
        <v>35</v>
      </c>
      <c r="H148" s="8" t="s">
        <v>379</v>
      </c>
      <c r="I148" s="8">
        <v>35.44</v>
      </c>
      <c r="J148" s="8">
        <v>1</v>
      </c>
      <c r="K148" s="8">
        <v>0</v>
      </c>
      <c r="L148" s="8">
        <v>16.6568</v>
      </c>
    </row>
    <row r="149" spans="1:12" x14ac:dyDescent="0.25">
      <c r="A149" s="8" t="s">
        <v>466</v>
      </c>
      <c r="B149" s="9">
        <v>45616</v>
      </c>
      <c r="C149" s="8" t="s">
        <v>467</v>
      </c>
      <c r="D149" s="8" t="s">
        <v>39</v>
      </c>
      <c r="E149" s="8" t="s">
        <v>58</v>
      </c>
      <c r="F149" s="8" t="s">
        <v>34</v>
      </c>
      <c r="G149" s="8" t="s">
        <v>59</v>
      </c>
      <c r="H149" s="8" t="s">
        <v>468</v>
      </c>
      <c r="I149" s="8">
        <v>62.88</v>
      </c>
      <c r="J149" s="8">
        <v>4</v>
      </c>
      <c r="K149" s="8">
        <v>0.7</v>
      </c>
      <c r="L149" s="8">
        <v>-50.304000000000002</v>
      </c>
    </row>
    <row r="150" spans="1:12" x14ac:dyDescent="0.25">
      <c r="A150" s="8" t="s">
        <v>469</v>
      </c>
      <c r="B150" s="9">
        <v>46241</v>
      </c>
      <c r="C150" s="8" t="s">
        <v>470</v>
      </c>
      <c r="D150" s="8" t="s">
        <v>39</v>
      </c>
      <c r="E150" s="8" t="s">
        <v>75</v>
      </c>
      <c r="F150" s="8" t="s">
        <v>34</v>
      </c>
      <c r="G150" s="8" t="s">
        <v>59</v>
      </c>
      <c r="H150" s="8" t="s">
        <v>471</v>
      </c>
      <c r="I150" s="8">
        <v>31.128</v>
      </c>
      <c r="J150" s="8">
        <v>3</v>
      </c>
      <c r="K150" s="8">
        <v>0.2</v>
      </c>
      <c r="L150" s="8">
        <v>11.673</v>
      </c>
    </row>
    <row r="151" spans="1:12" x14ac:dyDescent="0.25">
      <c r="A151" s="8" t="s">
        <v>472</v>
      </c>
      <c r="B151" s="9">
        <v>46182</v>
      </c>
      <c r="C151" s="8" t="s">
        <v>473</v>
      </c>
      <c r="D151" s="8" t="s">
        <v>46</v>
      </c>
      <c r="E151" s="8" t="s">
        <v>40</v>
      </c>
      <c r="F151" s="8" t="s">
        <v>63</v>
      </c>
      <c r="G151" s="8" t="s">
        <v>355</v>
      </c>
      <c r="H151" s="8" t="s">
        <v>474</v>
      </c>
      <c r="I151" s="8">
        <v>108.925</v>
      </c>
      <c r="J151" s="8">
        <v>1</v>
      </c>
      <c r="K151" s="8">
        <v>0.5</v>
      </c>
      <c r="L151" s="8">
        <v>-71.890500000000003</v>
      </c>
    </row>
    <row r="152" spans="1:12" x14ac:dyDescent="0.25">
      <c r="A152" s="8" t="s">
        <v>475</v>
      </c>
      <c r="B152" s="9">
        <v>46382</v>
      </c>
      <c r="C152" s="8" t="s">
        <v>476</v>
      </c>
      <c r="D152" s="8" t="s">
        <v>46</v>
      </c>
      <c r="E152" s="8" t="s">
        <v>33</v>
      </c>
      <c r="F152" s="8" t="s">
        <v>34</v>
      </c>
      <c r="G152" s="8" t="s">
        <v>59</v>
      </c>
      <c r="H152" s="8" t="s">
        <v>477</v>
      </c>
      <c r="I152" s="8">
        <v>3.1320000000000001</v>
      </c>
      <c r="J152" s="8">
        <v>2</v>
      </c>
      <c r="K152" s="8">
        <v>0.7</v>
      </c>
      <c r="L152" s="8">
        <v>-2.61</v>
      </c>
    </row>
    <row r="153" spans="1:12" x14ac:dyDescent="0.25">
      <c r="A153" s="8" t="s">
        <v>478</v>
      </c>
      <c r="B153" s="9">
        <v>45828</v>
      </c>
      <c r="C153" s="8" t="s">
        <v>479</v>
      </c>
      <c r="D153" s="8" t="s">
        <v>39</v>
      </c>
      <c r="E153" s="8" t="s">
        <v>75</v>
      </c>
      <c r="F153" s="8" t="s">
        <v>63</v>
      </c>
      <c r="G153" s="8" t="s">
        <v>64</v>
      </c>
      <c r="H153" s="8" t="s">
        <v>480</v>
      </c>
      <c r="I153" s="8">
        <v>161.56800000000001</v>
      </c>
      <c r="J153" s="8">
        <v>2</v>
      </c>
      <c r="K153" s="8">
        <v>0.2</v>
      </c>
      <c r="L153" s="8">
        <v>-8.0784000000000002</v>
      </c>
    </row>
    <row r="154" spans="1:12" x14ac:dyDescent="0.25">
      <c r="A154" s="8" t="s">
        <v>182</v>
      </c>
      <c r="B154" s="9">
        <v>45574</v>
      </c>
      <c r="C154" s="8" t="s">
        <v>183</v>
      </c>
      <c r="D154" s="8" t="s">
        <v>32</v>
      </c>
      <c r="E154" s="8" t="s">
        <v>40</v>
      </c>
      <c r="F154" s="8" t="s">
        <v>34</v>
      </c>
      <c r="G154" s="8" t="s">
        <v>54</v>
      </c>
      <c r="H154" s="8" t="s">
        <v>481</v>
      </c>
      <c r="I154" s="8">
        <v>29.402999999999999</v>
      </c>
      <c r="J154" s="8">
        <v>3</v>
      </c>
      <c r="K154" s="8">
        <v>0.1</v>
      </c>
      <c r="L154" s="8">
        <v>5.2271999999999998</v>
      </c>
    </row>
    <row r="155" spans="1:12" x14ac:dyDescent="0.25">
      <c r="A155" s="8" t="s">
        <v>482</v>
      </c>
      <c r="B155" s="9">
        <v>45303</v>
      </c>
      <c r="C155" s="8" t="s">
        <v>483</v>
      </c>
      <c r="D155" s="8" t="s">
        <v>32</v>
      </c>
      <c r="E155" s="8" t="s">
        <v>33</v>
      </c>
      <c r="F155" s="8" t="s">
        <v>41</v>
      </c>
      <c r="G155" s="8" t="s">
        <v>42</v>
      </c>
      <c r="H155" s="8" t="s">
        <v>228</v>
      </c>
      <c r="I155" s="8">
        <v>235.18799999999999</v>
      </c>
      <c r="J155" s="8">
        <v>2</v>
      </c>
      <c r="K155" s="8">
        <v>0.4</v>
      </c>
      <c r="L155" s="8">
        <v>-43.117800000000102</v>
      </c>
    </row>
    <row r="156" spans="1:12" x14ac:dyDescent="0.25">
      <c r="A156" s="8" t="s">
        <v>484</v>
      </c>
      <c r="B156" s="9">
        <v>46357</v>
      </c>
      <c r="C156" s="8" t="s">
        <v>485</v>
      </c>
      <c r="D156" s="8" t="s">
        <v>32</v>
      </c>
      <c r="E156" s="8" t="s">
        <v>40</v>
      </c>
      <c r="F156" s="8" t="s">
        <v>34</v>
      </c>
      <c r="G156" s="8" t="s">
        <v>35</v>
      </c>
      <c r="H156" s="8" t="s">
        <v>486</v>
      </c>
      <c r="I156" s="8">
        <v>10.368</v>
      </c>
      <c r="J156" s="8">
        <v>2</v>
      </c>
      <c r="K156" s="8">
        <v>0.2</v>
      </c>
      <c r="L156" s="8">
        <v>3.6288</v>
      </c>
    </row>
    <row r="157" spans="1:12" x14ac:dyDescent="0.25">
      <c r="A157" s="8" t="s">
        <v>487</v>
      </c>
      <c r="B157" s="9">
        <v>46364</v>
      </c>
      <c r="C157" s="8" t="s">
        <v>71</v>
      </c>
      <c r="D157" s="8" t="s">
        <v>39</v>
      </c>
      <c r="E157" s="8" t="s">
        <v>75</v>
      </c>
      <c r="F157" s="8" t="s">
        <v>34</v>
      </c>
      <c r="G157" s="8" t="s">
        <v>102</v>
      </c>
      <c r="H157" s="8" t="s">
        <v>488</v>
      </c>
      <c r="I157" s="8">
        <v>28.35</v>
      </c>
      <c r="J157" s="8">
        <v>9</v>
      </c>
      <c r="K157" s="8">
        <v>0</v>
      </c>
      <c r="L157" s="8">
        <v>13.608000000000001</v>
      </c>
    </row>
    <row r="158" spans="1:12" x14ac:dyDescent="0.25">
      <c r="A158" s="8" t="s">
        <v>489</v>
      </c>
      <c r="B158" s="9">
        <v>45547</v>
      </c>
      <c r="C158" s="8" t="s">
        <v>490</v>
      </c>
      <c r="D158" s="8" t="s">
        <v>39</v>
      </c>
      <c r="E158" s="8" t="s">
        <v>33</v>
      </c>
      <c r="F158" s="8" t="s">
        <v>34</v>
      </c>
      <c r="G158" s="8" t="s">
        <v>134</v>
      </c>
      <c r="H158" s="8" t="s">
        <v>491</v>
      </c>
      <c r="I158" s="8">
        <v>1.24</v>
      </c>
      <c r="J158" s="8">
        <v>1</v>
      </c>
      <c r="K158" s="8">
        <v>0</v>
      </c>
      <c r="L158" s="8">
        <v>0.58279999999999998</v>
      </c>
    </row>
    <row r="159" spans="1:12" x14ac:dyDescent="0.25">
      <c r="A159" s="8" t="s">
        <v>492</v>
      </c>
      <c r="B159" s="9">
        <v>46223</v>
      </c>
      <c r="C159" s="8" t="s">
        <v>493</v>
      </c>
      <c r="D159" s="8" t="s">
        <v>32</v>
      </c>
      <c r="E159" s="8" t="s">
        <v>40</v>
      </c>
      <c r="F159" s="8" t="s">
        <v>63</v>
      </c>
      <c r="G159" s="8" t="s">
        <v>64</v>
      </c>
      <c r="H159" s="8" t="s">
        <v>65</v>
      </c>
      <c r="I159" s="8">
        <v>182.94</v>
      </c>
      <c r="J159" s="8">
        <v>3</v>
      </c>
      <c r="K159" s="8">
        <v>0</v>
      </c>
      <c r="L159" s="8">
        <v>27.440999999999999</v>
      </c>
    </row>
    <row r="160" spans="1:12" x14ac:dyDescent="0.25">
      <c r="A160" s="8" t="s">
        <v>331</v>
      </c>
      <c r="B160" s="9">
        <v>46085</v>
      </c>
      <c r="C160" s="8" t="s">
        <v>332</v>
      </c>
      <c r="D160" s="8" t="s">
        <v>46</v>
      </c>
      <c r="E160" s="8" t="s">
        <v>40</v>
      </c>
      <c r="F160" s="8" t="s">
        <v>34</v>
      </c>
      <c r="G160" s="8" t="s">
        <v>102</v>
      </c>
      <c r="H160" s="8" t="s">
        <v>494</v>
      </c>
      <c r="I160" s="8">
        <v>2.464</v>
      </c>
      <c r="J160" s="8">
        <v>1</v>
      </c>
      <c r="K160" s="8">
        <v>0.2</v>
      </c>
      <c r="L160" s="8">
        <v>0.86240000000000006</v>
      </c>
    </row>
    <row r="161" spans="1:12" x14ac:dyDescent="0.25">
      <c r="A161" s="8" t="s">
        <v>495</v>
      </c>
      <c r="B161" s="9">
        <v>46145</v>
      </c>
      <c r="C161" s="8" t="s">
        <v>496</v>
      </c>
      <c r="D161" s="8" t="s">
        <v>39</v>
      </c>
      <c r="E161" s="8" t="s">
        <v>75</v>
      </c>
      <c r="F161" s="8" t="s">
        <v>34</v>
      </c>
      <c r="G161" s="8" t="s">
        <v>35</v>
      </c>
      <c r="H161" s="8" t="s">
        <v>497</v>
      </c>
      <c r="I161" s="8">
        <v>25.92</v>
      </c>
      <c r="J161" s="8">
        <v>4</v>
      </c>
      <c r="K161" s="8">
        <v>0</v>
      </c>
      <c r="L161" s="8">
        <v>12.441599999999999</v>
      </c>
    </row>
    <row r="162" spans="1:12" x14ac:dyDescent="0.25">
      <c r="A162" s="8" t="s">
        <v>498</v>
      </c>
      <c r="B162" s="9">
        <v>45279</v>
      </c>
      <c r="C162" s="8" t="s">
        <v>499</v>
      </c>
      <c r="D162" s="8" t="s">
        <v>32</v>
      </c>
      <c r="E162" s="8" t="s">
        <v>75</v>
      </c>
      <c r="F162" s="8" t="s">
        <v>34</v>
      </c>
      <c r="G162" s="8" t="s">
        <v>102</v>
      </c>
      <c r="H162" s="8" t="s">
        <v>500</v>
      </c>
      <c r="I162" s="8">
        <v>14.62</v>
      </c>
      <c r="J162" s="8">
        <v>2</v>
      </c>
      <c r="K162" s="8">
        <v>0</v>
      </c>
      <c r="L162" s="8">
        <v>6.8714000000000004</v>
      </c>
    </row>
    <row r="163" spans="1:12" x14ac:dyDescent="0.25">
      <c r="A163" s="8" t="s">
        <v>501</v>
      </c>
      <c r="B163" s="9">
        <v>45647</v>
      </c>
      <c r="C163" s="8" t="s">
        <v>502</v>
      </c>
      <c r="D163" s="8" t="s">
        <v>39</v>
      </c>
      <c r="E163" s="8" t="s">
        <v>75</v>
      </c>
      <c r="F163" s="8" t="s">
        <v>41</v>
      </c>
      <c r="G163" s="8" t="s">
        <v>76</v>
      </c>
      <c r="H163" s="8" t="s">
        <v>503</v>
      </c>
      <c r="I163" s="8">
        <v>99.6</v>
      </c>
      <c r="J163" s="8">
        <v>1</v>
      </c>
      <c r="K163" s="8">
        <v>0</v>
      </c>
      <c r="L163" s="8">
        <v>36.851999999999997</v>
      </c>
    </row>
    <row r="164" spans="1:12" x14ac:dyDescent="0.25">
      <c r="A164" s="8" t="s">
        <v>504</v>
      </c>
      <c r="B164" s="9">
        <v>45189</v>
      </c>
      <c r="C164" s="8" t="s">
        <v>505</v>
      </c>
      <c r="D164" s="8" t="s">
        <v>39</v>
      </c>
      <c r="E164" s="8" t="s">
        <v>75</v>
      </c>
      <c r="F164" s="8" t="s">
        <v>34</v>
      </c>
      <c r="G164" s="8" t="s">
        <v>35</v>
      </c>
      <c r="H164" s="8" t="s">
        <v>506</v>
      </c>
      <c r="I164" s="8">
        <v>21.72</v>
      </c>
      <c r="J164" s="8">
        <v>4</v>
      </c>
      <c r="K164" s="8">
        <v>0</v>
      </c>
      <c r="L164" s="8">
        <v>10.642799999999999</v>
      </c>
    </row>
    <row r="165" spans="1:12" x14ac:dyDescent="0.25">
      <c r="A165" s="8" t="s">
        <v>507</v>
      </c>
      <c r="B165" s="9">
        <v>45814</v>
      </c>
      <c r="C165" s="8" t="s">
        <v>479</v>
      </c>
      <c r="D165" s="8" t="s">
        <v>39</v>
      </c>
      <c r="E165" s="8" t="s">
        <v>40</v>
      </c>
      <c r="F165" s="8" t="s">
        <v>41</v>
      </c>
      <c r="G165" s="8" t="s">
        <v>42</v>
      </c>
      <c r="H165" s="8" t="s">
        <v>508</v>
      </c>
      <c r="I165" s="8">
        <v>328.22399999999999</v>
      </c>
      <c r="J165" s="8">
        <v>4</v>
      </c>
      <c r="K165" s="8">
        <v>0.2</v>
      </c>
      <c r="L165" s="8">
        <v>28.7196</v>
      </c>
    </row>
    <row r="166" spans="1:12" x14ac:dyDescent="0.25">
      <c r="A166" s="8" t="s">
        <v>509</v>
      </c>
      <c r="B166" s="9">
        <v>45245</v>
      </c>
      <c r="C166" s="8" t="s">
        <v>67</v>
      </c>
      <c r="D166" s="8" t="s">
        <v>32</v>
      </c>
      <c r="E166" s="8" t="s">
        <v>75</v>
      </c>
      <c r="F166" s="8" t="s">
        <v>34</v>
      </c>
      <c r="G166" s="8" t="s">
        <v>68</v>
      </c>
      <c r="H166" s="8" t="s">
        <v>510</v>
      </c>
      <c r="I166" s="8">
        <v>10.95</v>
      </c>
      <c r="J166" s="8">
        <v>3</v>
      </c>
      <c r="K166" s="8">
        <v>0</v>
      </c>
      <c r="L166" s="8">
        <v>3.2850000000000001</v>
      </c>
    </row>
    <row r="167" spans="1:12" x14ac:dyDescent="0.25">
      <c r="A167" s="8" t="s">
        <v>511</v>
      </c>
      <c r="B167" s="9">
        <v>45628</v>
      </c>
      <c r="C167" s="8" t="s">
        <v>512</v>
      </c>
      <c r="D167" s="8" t="s">
        <v>46</v>
      </c>
      <c r="E167" s="8" t="s">
        <v>33</v>
      </c>
      <c r="F167" s="8" t="s">
        <v>63</v>
      </c>
      <c r="G167" s="8" t="s">
        <v>86</v>
      </c>
      <c r="H167" s="8" t="s">
        <v>513</v>
      </c>
      <c r="I167" s="8">
        <v>58.36</v>
      </c>
      <c r="J167" s="8">
        <v>5</v>
      </c>
      <c r="K167" s="8">
        <v>0.6</v>
      </c>
      <c r="L167" s="8">
        <v>-24.803000000000001</v>
      </c>
    </row>
    <row r="168" spans="1:12" x14ac:dyDescent="0.25">
      <c r="A168" s="8" t="s">
        <v>514</v>
      </c>
      <c r="B168" s="9">
        <v>45766</v>
      </c>
      <c r="C168" s="8" t="s">
        <v>515</v>
      </c>
      <c r="D168" s="8" t="s">
        <v>39</v>
      </c>
      <c r="E168" s="8" t="s">
        <v>33</v>
      </c>
      <c r="F168" s="8" t="s">
        <v>41</v>
      </c>
      <c r="G168" s="8" t="s">
        <v>42</v>
      </c>
      <c r="H168" s="8" t="s">
        <v>516</v>
      </c>
      <c r="I168" s="8">
        <v>25.98</v>
      </c>
      <c r="J168" s="8">
        <v>2</v>
      </c>
      <c r="K168" s="8">
        <v>0</v>
      </c>
      <c r="L168" s="8">
        <v>0.77939999999999898</v>
      </c>
    </row>
    <row r="169" spans="1:12" x14ac:dyDescent="0.25">
      <c r="A169" s="8" t="s">
        <v>517</v>
      </c>
      <c r="B169" s="9">
        <v>46108</v>
      </c>
      <c r="C169" s="8" t="s">
        <v>518</v>
      </c>
      <c r="D169" s="8" t="s">
        <v>39</v>
      </c>
      <c r="E169" s="8" t="s">
        <v>40</v>
      </c>
      <c r="F169" s="8" t="s">
        <v>41</v>
      </c>
      <c r="G169" s="8" t="s">
        <v>76</v>
      </c>
      <c r="H169" s="8" t="s">
        <v>519</v>
      </c>
      <c r="I169" s="8">
        <v>39.991999999999997</v>
      </c>
      <c r="J169" s="8">
        <v>1</v>
      </c>
      <c r="K169" s="8">
        <v>0.2</v>
      </c>
      <c r="L169" s="8">
        <v>6.9985999999999997</v>
      </c>
    </row>
    <row r="170" spans="1:12" x14ac:dyDescent="0.25">
      <c r="A170" s="8" t="s">
        <v>520</v>
      </c>
      <c r="B170" s="9">
        <v>46015</v>
      </c>
      <c r="C170" s="8" t="s">
        <v>246</v>
      </c>
      <c r="D170" s="8" t="s">
        <v>46</v>
      </c>
      <c r="E170" s="8" t="s">
        <v>58</v>
      </c>
      <c r="F170" s="8" t="s">
        <v>41</v>
      </c>
      <c r="G170" s="8" t="s">
        <v>76</v>
      </c>
      <c r="H170" s="8" t="s">
        <v>521</v>
      </c>
      <c r="I170" s="8">
        <v>255.68</v>
      </c>
      <c r="J170" s="8">
        <v>8</v>
      </c>
      <c r="K170" s="8">
        <v>0.2</v>
      </c>
      <c r="L170" s="8">
        <v>76.703999999999994</v>
      </c>
    </row>
    <row r="171" spans="1:12" x14ac:dyDescent="0.25">
      <c r="A171" s="8" t="s">
        <v>522</v>
      </c>
      <c r="B171" s="9">
        <v>45603</v>
      </c>
      <c r="C171" s="8" t="s">
        <v>523</v>
      </c>
      <c r="D171" s="8" t="s">
        <v>39</v>
      </c>
      <c r="E171" s="8" t="s">
        <v>40</v>
      </c>
      <c r="F171" s="8" t="s">
        <v>63</v>
      </c>
      <c r="G171" s="8" t="s">
        <v>86</v>
      </c>
      <c r="H171" s="8" t="s">
        <v>524</v>
      </c>
      <c r="I171" s="8">
        <v>64.959999999999994</v>
      </c>
      <c r="J171" s="8">
        <v>5</v>
      </c>
      <c r="K171" s="8">
        <v>0.6</v>
      </c>
      <c r="L171" s="8">
        <v>-84.447999999999993</v>
      </c>
    </row>
    <row r="172" spans="1:12" x14ac:dyDescent="0.25">
      <c r="A172" s="8" t="s">
        <v>525</v>
      </c>
      <c r="B172" s="9">
        <v>45725</v>
      </c>
      <c r="C172" s="8" t="s">
        <v>526</v>
      </c>
      <c r="D172" s="8" t="s">
        <v>46</v>
      </c>
      <c r="E172" s="8" t="s">
        <v>33</v>
      </c>
      <c r="F172" s="8" t="s">
        <v>41</v>
      </c>
      <c r="G172" s="8" t="s">
        <v>76</v>
      </c>
      <c r="H172" s="8" t="s">
        <v>521</v>
      </c>
      <c r="I172" s="8">
        <v>199.75</v>
      </c>
      <c r="J172" s="8">
        <v>5</v>
      </c>
      <c r="K172" s="8">
        <v>0</v>
      </c>
      <c r="L172" s="8">
        <v>87.89</v>
      </c>
    </row>
    <row r="173" spans="1:12" x14ac:dyDescent="0.25">
      <c r="A173" s="8" t="s">
        <v>527</v>
      </c>
      <c r="B173" s="9">
        <v>45331</v>
      </c>
      <c r="C173" s="8" t="s">
        <v>221</v>
      </c>
      <c r="D173" s="8" t="s">
        <v>39</v>
      </c>
      <c r="E173" s="8" t="s">
        <v>40</v>
      </c>
      <c r="F173" s="8" t="s">
        <v>41</v>
      </c>
      <c r="G173" s="8" t="s">
        <v>76</v>
      </c>
      <c r="H173" s="8" t="s">
        <v>528</v>
      </c>
      <c r="I173" s="8">
        <v>479.952</v>
      </c>
      <c r="J173" s="8">
        <v>6</v>
      </c>
      <c r="K173" s="8">
        <v>0.2</v>
      </c>
      <c r="L173" s="8">
        <v>89.991</v>
      </c>
    </row>
    <row r="174" spans="1:12" x14ac:dyDescent="0.25">
      <c r="A174" s="8" t="s">
        <v>469</v>
      </c>
      <c r="B174" s="9">
        <v>46241</v>
      </c>
      <c r="C174" s="8" t="s">
        <v>470</v>
      </c>
      <c r="D174" s="8" t="s">
        <v>39</v>
      </c>
      <c r="E174" s="8" t="s">
        <v>75</v>
      </c>
      <c r="F174" s="8" t="s">
        <v>63</v>
      </c>
      <c r="G174" s="8" t="s">
        <v>86</v>
      </c>
      <c r="H174" s="8" t="s">
        <v>529</v>
      </c>
      <c r="I174" s="8">
        <v>51.75</v>
      </c>
      <c r="J174" s="8">
        <v>1</v>
      </c>
      <c r="K174" s="8">
        <v>0</v>
      </c>
      <c r="L174" s="8">
        <v>15.525</v>
      </c>
    </row>
    <row r="175" spans="1:12" x14ac:dyDescent="0.25">
      <c r="A175" s="8" t="s">
        <v>530</v>
      </c>
      <c r="B175" s="9">
        <v>45498</v>
      </c>
      <c r="C175" s="8" t="s">
        <v>531</v>
      </c>
      <c r="D175" s="8" t="s">
        <v>39</v>
      </c>
      <c r="E175" s="8" t="s">
        <v>75</v>
      </c>
      <c r="F175" s="8" t="s">
        <v>34</v>
      </c>
      <c r="G175" s="8" t="s">
        <v>35</v>
      </c>
      <c r="H175" s="8" t="s">
        <v>532</v>
      </c>
      <c r="I175" s="8">
        <v>12.96</v>
      </c>
      <c r="J175" s="8">
        <v>2</v>
      </c>
      <c r="K175" s="8">
        <v>0</v>
      </c>
      <c r="L175" s="8">
        <v>6.2207999999999997</v>
      </c>
    </row>
    <row r="176" spans="1:12" x14ac:dyDescent="0.25">
      <c r="A176" s="8" t="s">
        <v>533</v>
      </c>
      <c r="B176" s="9">
        <v>45201</v>
      </c>
      <c r="C176" s="8" t="s">
        <v>534</v>
      </c>
      <c r="D176" s="8" t="s">
        <v>32</v>
      </c>
      <c r="E176" s="8" t="s">
        <v>75</v>
      </c>
      <c r="F176" s="8" t="s">
        <v>34</v>
      </c>
      <c r="G176" s="8" t="s">
        <v>134</v>
      </c>
      <c r="H176" s="8" t="s">
        <v>535</v>
      </c>
      <c r="I176" s="8">
        <v>4.6719999999999997</v>
      </c>
      <c r="J176" s="8">
        <v>2</v>
      </c>
      <c r="K176" s="8">
        <v>0.2</v>
      </c>
      <c r="L176" s="8">
        <v>1.46</v>
      </c>
    </row>
    <row r="177" spans="1:12" x14ac:dyDescent="0.25">
      <c r="A177" s="8" t="s">
        <v>536</v>
      </c>
      <c r="B177" s="9">
        <v>46206</v>
      </c>
      <c r="C177" s="8" t="s">
        <v>537</v>
      </c>
      <c r="D177" s="8" t="s">
        <v>39</v>
      </c>
      <c r="E177" s="8" t="s">
        <v>58</v>
      </c>
      <c r="F177" s="8" t="s">
        <v>41</v>
      </c>
      <c r="G177" s="8" t="s">
        <v>76</v>
      </c>
      <c r="H177" s="8" t="s">
        <v>538</v>
      </c>
      <c r="I177" s="8">
        <v>24</v>
      </c>
      <c r="J177" s="8">
        <v>2</v>
      </c>
      <c r="K177" s="8">
        <v>0.2</v>
      </c>
      <c r="L177" s="8">
        <v>-2.7</v>
      </c>
    </row>
    <row r="178" spans="1:12" x14ac:dyDescent="0.25">
      <c r="A178" s="8" t="s">
        <v>539</v>
      </c>
      <c r="B178" s="9">
        <v>46076</v>
      </c>
      <c r="C178" s="8" t="s">
        <v>540</v>
      </c>
      <c r="D178" s="8" t="s">
        <v>39</v>
      </c>
      <c r="E178" s="8" t="s">
        <v>75</v>
      </c>
      <c r="F178" s="8" t="s">
        <v>34</v>
      </c>
      <c r="G178" s="8" t="s">
        <v>35</v>
      </c>
      <c r="H178" s="8" t="s">
        <v>541</v>
      </c>
      <c r="I178" s="8">
        <v>37.44</v>
      </c>
      <c r="J178" s="8">
        <v>6</v>
      </c>
      <c r="K178" s="8">
        <v>0</v>
      </c>
      <c r="L178" s="8">
        <v>16.847999999999999</v>
      </c>
    </row>
    <row r="179" spans="1:12" x14ac:dyDescent="0.25">
      <c r="A179" s="8" t="s">
        <v>542</v>
      </c>
      <c r="B179" s="9">
        <v>45980</v>
      </c>
      <c r="C179" s="8" t="s">
        <v>543</v>
      </c>
      <c r="D179" s="8" t="s">
        <v>39</v>
      </c>
      <c r="E179" s="8" t="s">
        <v>40</v>
      </c>
      <c r="F179" s="8" t="s">
        <v>41</v>
      </c>
      <c r="G179" s="8" t="s">
        <v>42</v>
      </c>
      <c r="H179" s="8" t="s">
        <v>544</v>
      </c>
      <c r="I179" s="8">
        <v>71.959999999999994</v>
      </c>
      <c r="J179" s="8">
        <v>5</v>
      </c>
      <c r="K179" s="8">
        <v>0.2</v>
      </c>
      <c r="L179" s="8">
        <v>25.186</v>
      </c>
    </row>
    <row r="180" spans="1:12" x14ac:dyDescent="0.25">
      <c r="A180" s="8" t="s">
        <v>545</v>
      </c>
      <c r="B180" s="9">
        <v>45589</v>
      </c>
      <c r="C180" s="8" t="s">
        <v>213</v>
      </c>
      <c r="D180" s="8" t="s">
        <v>32</v>
      </c>
      <c r="E180" s="8" t="s">
        <v>40</v>
      </c>
      <c r="F180" s="8" t="s">
        <v>63</v>
      </c>
      <c r="G180" s="8" t="s">
        <v>355</v>
      </c>
      <c r="H180" s="8" t="s">
        <v>546</v>
      </c>
      <c r="I180" s="8">
        <v>347.36099999999999</v>
      </c>
      <c r="J180" s="8">
        <v>7</v>
      </c>
      <c r="K180" s="8">
        <v>0.3</v>
      </c>
      <c r="L180" s="8">
        <v>-69.472200000000001</v>
      </c>
    </row>
    <row r="181" spans="1:12" x14ac:dyDescent="0.25">
      <c r="A181" s="8" t="s">
        <v>81</v>
      </c>
      <c r="B181" s="9">
        <v>46366</v>
      </c>
      <c r="C181" s="8" t="s">
        <v>82</v>
      </c>
      <c r="D181" s="8" t="s">
        <v>46</v>
      </c>
      <c r="E181" s="8" t="s">
        <v>58</v>
      </c>
      <c r="F181" s="8" t="s">
        <v>34</v>
      </c>
      <c r="G181" s="8" t="s">
        <v>59</v>
      </c>
      <c r="H181" s="8" t="s">
        <v>547</v>
      </c>
      <c r="I181" s="8">
        <v>45.84</v>
      </c>
      <c r="J181" s="8">
        <v>8</v>
      </c>
      <c r="K181" s="8">
        <v>0</v>
      </c>
      <c r="L181" s="8">
        <v>22.0032</v>
      </c>
    </row>
    <row r="182" spans="1:12" x14ac:dyDescent="0.25">
      <c r="A182" s="8" t="s">
        <v>548</v>
      </c>
      <c r="B182" s="9">
        <v>45567</v>
      </c>
      <c r="C182" s="8" t="s">
        <v>124</v>
      </c>
      <c r="D182" s="8" t="s">
        <v>46</v>
      </c>
      <c r="E182" s="8" t="s">
        <v>75</v>
      </c>
      <c r="F182" s="8" t="s">
        <v>34</v>
      </c>
      <c r="G182" s="8" t="s">
        <v>47</v>
      </c>
      <c r="H182" s="8" t="s">
        <v>549</v>
      </c>
      <c r="I182" s="8">
        <v>270.33999999999997</v>
      </c>
      <c r="J182" s="8">
        <v>14</v>
      </c>
      <c r="K182" s="8">
        <v>0</v>
      </c>
      <c r="L182" s="8">
        <v>75.6952</v>
      </c>
    </row>
    <row r="183" spans="1:12" x14ac:dyDescent="0.25">
      <c r="A183" s="8" t="s">
        <v>550</v>
      </c>
      <c r="B183" s="9">
        <v>45415</v>
      </c>
      <c r="C183" s="8" t="s">
        <v>551</v>
      </c>
      <c r="D183" s="8" t="s">
        <v>39</v>
      </c>
      <c r="E183" s="8" t="s">
        <v>75</v>
      </c>
      <c r="F183" s="8" t="s">
        <v>34</v>
      </c>
      <c r="G183" s="8" t="s">
        <v>59</v>
      </c>
      <c r="H183" s="8" t="s">
        <v>552</v>
      </c>
      <c r="I183" s="8">
        <v>49.567999999999998</v>
      </c>
      <c r="J183" s="8">
        <v>2</v>
      </c>
      <c r="K183" s="8">
        <v>0.2</v>
      </c>
      <c r="L183" s="8">
        <v>17.348800000000001</v>
      </c>
    </row>
    <row r="184" spans="1:12" x14ac:dyDescent="0.25">
      <c r="A184" s="8" t="s">
        <v>553</v>
      </c>
      <c r="B184" s="9">
        <v>45561</v>
      </c>
      <c r="C184" s="8" t="s">
        <v>554</v>
      </c>
      <c r="D184" s="8" t="s">
        <v>39</v>
      </c>
      <c r="E184" s="8" t="s">
        <v>40</v>
      </c>
      <c r="F184" s="8" t="s">
        <v>34</v>
      </c>
      <c r="G184" s="8" t="s">
        <v>59</v>
      </c>
      <c r="H184" s="8" t="s">
        <v>555</v>
      </c>
      <c r="I184" s="8">
        <v>2.08</v>
      </c>
      <c r="J184" s="8">
        <v>5</v>
      </c>
      <c r="K184" s="8">
        <v>0.8</v>
      </c>
      <c r="L184" s="8">
        <v>-3.4319999999999999</v>
      </c>
    </row>
    <row r="185" spans="1:12" x14ac:dyDescent="0.25">
      <c r="A185" s="8" t="s">
        <v>556</v>
      </c>
      <c r="B185" s="9">
        <v>46094</v>
      </c>
      <c r="C185" s="8" t="s">
        <v>82</v>
      </c>
      <c r="D185" s="8" t="s">
        <v>46</v>
      </c>
      <c r="E185" s="8" t="s">
        <v>40</v>
      </c>
      <c r="F185" s="8" t="s">
        <v>34</v>
      </c>
      <c r="G185" s="8" t="s">
        <v>35</v>
      </c>
      <c r="H185" s="8" t="s">
        <v>557</v>
      </c>
      <c r="I185" s="8">
        <v>15.552</v>
      </c>
      <c r="J185" s="8">
        <v>3</v>
      </c>
      <c r="K185" s="8">
        <v>0.2</v>
      </c>
      <c r="L185" s="8">
        <v>5.6375999999999999</v>
      </c>
    </row>
    <row r="186" spans="1:12" x14ac:dyDescent="0.25">
      <c r="A186" s="8" t="s">
        <v>558</v>
      </c>
      <c r="B186" s="9">
        <v>45612</v>
      </c>
      <c r="C186" s="8" t="s">
        <v>559</v>
      </c>
      <c r="D186" s="8" t="s">
        <v>32</v>
      </c>
      <c r="E186" s="8" t="s">
        <v>75</v>
      </c>
      <c r="F186" s="8" t="s">
        <v>41</v>
      </c>
      <c r="G186" s="8" t="s">
        <v>42</v>
      </c>
      <c r="H186" s="8" t="s">
        <v>286</v>
      </c>
      <c r="I186" s="8">
        <v>304.77600000000001</v>
      </c>
      <c r="J186" s="8">
        <v>3</v>
      </c>
      <c r="K186" s="8">
        <v>0.2</v>
      </c>
      <c r="L186" s="8">
        <v>22.8582</v>
      </c>
    </row>
    <row r="187" spans="1:12" x14ac:dyDescent="0.25">
      <c r="A187" s="8" t="s">
        <v>560</v>
      </c>
      <c r="B187" s="9">
        <v>46376</v>
      </c>
      <c r="C187" s="8" t="s">
        <v>561</v>
      </c>
      <c r="D187" s="8" t="s">
        <v>32</v>
      </c>
      <c r="E187" s="8" t="s">
        <v>33</v>
      </c>
      <c r="F187" s="8" t="s">
        <v>34</v>
      </c>
      <c r="G187" s="8" t="s">
        <v>35</v>
      </c>
      <c r="H187" s="8" t="s">
        <v>562</v>
      </c>
      <c r="I187" s="8">
        <v>6.48</v>
      </c>
      <c r="J187" s="8">
        <v>1</v>
      </c>
      <c r="K187" s="8">
        <v>0</v>
      </c>
      <c r="L187" s="8">
        <v>3.1103999999999998</v>
      </c>
    </row>
    <row r="188" spans="1:12" x14ac:dyDescent="0.25">
      <c r="A188" s="8" t="s">
        <v>563</v>
      </c>
      <c r="B188" s="9">
        <v>45597</v>
      </c>
      <c r="C188" s="8" t="s">
        <v>564</v>
      </c>
      <c r="D188" s="8" t="s">
        <v>32</v>
      </c>
      <c r="E188" s="8" t="s">
        <v>33</v>
      </c>
      <c r="F188" s="8" t="s">
        <v>41</v>
      </c>
      <c r="G188" s="8" t="s">
        <v>42</v>
      </c>
      <c r="H188" s="8" t="s">
        <v>565</v>
      </c>
      <c r="I188" s="8">
        <v>4.95</v>
      </c>
      <c r="J188" s="8">
        <v>1</v>
      </c>
      <c r="K188" s="8">
        <v>0</v>
      </c>
      <c r="L188" s="8">
        <v>1.3365</v>
      </c>
    </row>
    <row r="189" spans="1:12" x14ac:dyDescent="0.25">
      <c r="A189" s="8" t="s">
        <v>566</v>
      </c>
      <c r="B189" s="9">
        <v>45241</v>
      </c>
      <c r="C189" s="8" t="s">
        <v>567</v>
      </c>
      <c r="D189" s="8" t="s">
        <v>32</v>
      </c>
      <c r="E189" s="8" t="s">
        <v>75</v>
      </c>
      <c r="F189" s="8" t="s">
        <v>34</v>
      </c>
      <c r="G189" s="8" t="s">
        <v>54</v>
      </c>
      <c r="H189" s="8" t="s">
        <v>238</v>
      </c>
      <c r="I189" s="8">
        <v>22.98</v>
      </c>
      <c r="J189" s="8">
        <v>1</v>
      </c>
      <c r="K189" s="8">
        <v>0</v>
      </c>
      <c r="L189" s="8">
        <v>6.8940000000000001</v>
      </c>
    </row>
    <row r="190" spans="1:12" x14ac:dyDescent="0.25">
      <c r="A190" s="8" t="s">
        <v>568</v>
      </c>
      <c r="B190" s="9">
        <v>45597</v>
      </c>
      <c r="C190" s="8" t="s">
        <v>569</v>
      </c>
      <c r="D190" s="8" t="s">
        <v>39</v>
      </c>
      <c r="E190" s="8" t="s">
        <v>33</v>
      </c>
      <c r="F190" s="8" t="s">
        <v>41</v>
      </c>
      <c r="G190" s="8" t="s">
        <v>42</v>
      </c>
      <c r="H190" s="8" t="s">
        <v>570</v>
      </c>
      <c r="I190" s="8">
        <v>503.96</v>
      </c>
      <c r="J190" s="8">
        <v>4</v>
      </c>
      <c r="K190" s="8">
        <v>0</v>
      </c>
      <c r="L190" s="8">
        <v>125.99</v>
      </c>
    </row>
    <row r="191" spans="1:12" x14ac:dyDescent="0.25">
      <c r="A191" s="8" t="s">
        <v>571</v>
      </c>
      <c r="B191" s="9">
        <v>44964</v>
      </c>
      <c r="C191" s="8" t="s">
        <v>572</v>
      </c>
      <c r="D191" s="8" t="s">
        <v>32</v>
      </c>
      <c r="E191" s="8" t="s">
        <v>33</v>
      </c>
      <c r="F191" s="8" t="s">
        <v>34</v>
      </c>
      <c r="G191" s="8" t="s">
        <v>47</v>
      </c>
      <c r="H191" s="8" t="s">
        <v>573</v>
      </c>
      <c r="I191" s="8">
        <v>64.959999999999994</v>
      </c>
      <c r="J191" s="8">
        <v>4</v>
      </c>
      <c r="K191" s="8">
        <v>0</v>
      </c>
      <c r="L191" s="8">
        <v>9.7439999999999998</v>
      </c>
    </row>
    <row r="192" spans="1:12" x14ac:dyDescent="0.25">
      <c r="A192" s="8" t="s">
        <v>574</v>
      </c>
      <c r="B192" s="9">
        <v>45779</v>
      </c>
      <c r="C192" s="8" t="s">
        <v>575</v>
      </c>
      <c r="D192" s="8" t="s">
        <v>32</v>
      </c>
      <c r="E192" s="8" t="s">
        <v>33</v>
      </c>
      <c r="F192" s="8" t="s">
        <v>34</v>
      </c>
      <c r="G192" s="8" t="s">
        <v>59</v>
      </c>
      <c r="H192" s="8" t="s">
        <v>576</v>
      </c>
      <c r="I192" s="8">
        <v>90.48</v>
      </c>
      <c r="J192" s="8">
        <v>3</v>
      </c>
      <c r="K192" s="8">
        <v>0.2</v>
      </c>
      <c r="L192" s="8">
        <v>33.93</v>
      </c>
    </row>
    <row r="193" spans="1:12" x14ac:dyDescent="0.25">
      <c r="A193" s="8" t="s">
        <v>577</v>
      </c>
      <c r="B193" s="9">
        <v>46246</v>
      </c>
      <c r="C193" s="8" t="s">
        <v>578</v>
      </c>
      <c r="D193" s="8" t="s">
        <v>32</v>
      </c>
      <c r="E193" s="8" t="s">
        <v>33</v>
      </c>
      <c r="F193" s="8" t="s">
        <v>34</v>
      </c>
      <c r="G193" s="8" t="s">
        <v>174</v>
      </c>
      <c r="H193" s="8" t="s">
        <v>579</v>
      </c>
      <c r="I193" s="8">
        <v>17.52</v>
      </c>
      <c r="J193" s="8">
        <v>3</v>
      </c>
      <c r="K193" s="8">
        <v>0</v>
      </c>
      <c r="L193" s="8">
        <v>5.2560000000000002</v>
      </c>
    </row>
    <row r="194" spans="1:12" x14ac:dyDescent="0.25">
      <c r="A194" s="8" t="s">
        <v>580</v>
      </c>
      <c r="B194" s="9">
        <v>45553</v>
      </c>
      <c r="C194" s="8" t="s">
        <v>581</v>
      </c>
      <c r="D194" s="8" t="s">
        <v>39</v>
      </c>
      <c r="E194" s="8" t="s">
        <v>75</v>
      </c>
      <c r="F194" s="8" t="s">
        <v>34</v>
      </c>
      <c r="G194" s="8" t="s">
        <v>68</v>
      </c>
      <c r="H194" s="8" t="s">
        <v>510</v>
      </c>
      <c r="I194" s="8">
        <v>7.3</v>
      </c>
      <c r="J194" s="8">
        <v>2</v>
      </c>
      <c r="K194" s="8">
        <v>0</v>
      </c>
      <c r="L194" s="8">
        <v>2.19</v>
      </c>
    </row>
    <row r="195" spans="1:12" x14ac:dyDescent="0.25">
      <c r="A195" s="8" t="s">
        <v>469</v>
      </c>
      <c r="B195" s="9">
        <v>46241</v>
      </c>
      <c r="C195" s="8" t="s">
        <v>470</v>
      </c>
      <c r="D195" s="8" t="s">
        <v>39</v>
      </c>
      <c r="E195" s="8" t="s">
        <v>75</v>
      </c>
      <c r="F195" s="8" t="s">
        <v>34</v>
      </c>
      <c r="G195" s="8" t="s">
        <v>59</v>
      </c>
      <c r="H195" s="8" t="s">
        <v>582</v>
      </c>
      <c r="I195" s="8">
        <v>11.952</v>
      </c>
      <c r="J195" s="8">
        <v>3</v>
      </c>
      <c r="K195" s="8">
        <v>0.2</v>
      </c>
      <c r="L195" s="8">
        <v>4.1832000000000003</v>
      </c>
    </row>
    <row r="196" spans="1:12" x14ac:dyDescent="0.25">
      <c r="A196" s="8" t="s">
        <v>583</v>
      </c>
      <c r="B196" s="9">
        <v>45991</v>
      </c>
      <c r="C196" s="8" t="s">
        <v>407</v>
      </c>
      <c r="D196" s="8" t="s">
        <v>39</v>
      </c>
      <c r="E196" s="8" t="s">
        <v>40</v>
      </c>
      <c r="F196" s="8" t="s">
        <v>34</v>
      </c>
      <c r="G196" s="8" t="s">
        <v>35</v>
      </c>
      <c r="H196" s="8" t="s">
        <v>458</v>
      </c>
      <c r="I196" s="8">
        <v>13.76</v>
      </c>
      <c r="J196" s="8">
        <v>2</v>
      </c>
      <c r="K196" s="8">
        <v>0</v>
      </c>
      <c r="L196" s="8">
        <v>6.3296000000000001</v>
      </c>
    </row>
    <row r="197" spans="1:12" x14ac:dyDescent="0.25">
      <c r="A197" s="8" t="s">
        <v>584</v>
      </c>
      <c r="B197" s="9">
        <v>45965</v>
      </c>
      <c r="C197" s="8" t="s">
        <v>585</v>
      </c>
      <c r="D197" s="8" t="s">
        <v>32</v>
      </c>
      <c r="E197" s="8" t="s">
        <v>75</v>
      </c>
      <c r="F197" s="8" t="s">
        <v>34</v>
      </c>
      <c r="G197" s="8" t="s">
        <v>102</v>
      </c>
      <c r="H197" s="8" t="s">
        <v>586</v>
      </c>
      <c r="I197" s="8">
        <v>629.18399999999997</v>
      </c>
      <c r="J197" s="8">
        <v>8</v>
      </c>
      <c r="K197" s="8">
        <v>0.2</v>
      </c>
      <c r="L197" s="8">
        <v>228.07919999999999</v>
      </c>
    </row>
    <row r="198" spans="1:12" x14ac:dyDescent="0.25">
      <c r="A198" s="8" t="s">
        <v>587</v>
      </c>
      <c r="B198" s="9">
        <v>45116</v>
      </c>
      <c r="C198" s="8" t="s">
        <v>183</v>
      </c>
      <c r="D198" s="8" t="s">
        <v>32</v>
      </c>
      <c r="E198" s="8" t="s">
        <v>40</v>
      </c>
      <c r="F198" s="8" t="s">
        <v>34</v>
      </c>
      <c r="G198" s="8" t="s">
        <v>35</v>
      </c>
      <c r="H198" s="8" t="s">
        <v>588</v>
      </c>
      <c r="I198" s="8">
        <v>14.352</v>
      </c>
      <c r="J198" s="8">
        <v>3</v>
      </c>
      <c r="K198" s="8">
        <v>0.2</v>
      </c>
      <c r="L198" s="8">
        <v>4.4850000000000003</v>
      </c>
    </row>
    <row r="199" spans="1:12" x14ac:dyDescent="0.25">
      <c r="A199" s="8" t="s">
        <v>589</v>
      </c>
      <c r="B199" s="9">
        <v>45367</v>
      </c>
      <c r="C199" s="8" t="s">
        <v>590</v>
      </c>
      <c r="D199" s="8" t="s">
        <v>32</v>
      </c>
      <c r="E199" s="8" t="s">
        <v>33</v>
      </c>
      <c r="F199" s="8" t="s">
        <v>41</v>
      </c>
      <c r="G199" s="8" t="s">
        <v>42</v>
      </c>
      <c r="H199" s="8" t="s">
        <v>591</v>
      </c>
      <c r="I199" s="8">
        <v>85.9</v>
      </c>
      <c r="J199" s="8">
        <v>2</v>
      </c>
      <c r="K199" s="8">
        <v>0</v>
      </c>
      <c r="L199" s="8">
        <v>2.577</v>
      </c>
    </row>
    <row r="200" spans="1:12" x14ac:dyDescent="0.25">
      <c r="A200" s="8" t="s">
        <v>592</v>
      </c>
      <c r="B200" s="9">
        <v>45254</v>
      </c>
      <c r="C200" s="8" t="s">
        <v>593</v>
      </c>
      <c r="D200" s="8" t="s">
        <v>39</v>
      </c>
      <c r="E200" s="8" t="s">
        <v>75</v>
      </c>
      <c r="F200" s="8" t="s">
        <v>63</v>
      </c>
      <c r="G200" s="8" t="s">
        <v>64</v>
      </c>
      <c r="H200" s="8" t="s">
        <v>594</v>
      </c>
      <c r="I200" s="8">
        <v>120.712</v>
      </c>
      <c r="J200" s="8">
        <v>1</v>
      </c>
      <c r="K200" s="8">
        <v>0.2</v>
      </c>
      <c r="L200" s="8">
        <v>-18.1068</v>
      </c>
    </row>
    <row r="201" spans="1:12" x14ac:dyDescent="0.25">
      <c r="A201" s="8" t="s">
        <v>595</v>
      </c>
      <c r="B201" s="9">
        <v>46144</v>
      </c>
      <c r="C201" s="8" t="s">
        <v>596</v>
      </c>
      <c r="D201" s="8" t="s">
        <v>39</v>
      </c>
      <c r="E201" s="8" t="s">
        <v>75</v>
      </c>
      <c r="F201" s="8" t="s">
        <v>34</v>
      </c>
      <c r="G201" s="8" t="s">
        <v>35</v>
      </c>
      <c r="H201" s="8" t="s">
        <v>458</v>
      </c>
      <c r="I201" s="8">
        <v>34.4</v>
      </c>
      <c r="J201" s="8">
        <v>5</v>
      </c>
      <c r="K201" s="8">
        <v>0</v>
      </c>
      <c r="L201" s="8">
        <v>15.824</v>
      </c>
    </row>
    <row r="202" spans="1:12" x14ac:dyDescent="0.25">
      <c r="A202" s="8" t="s">
        <v>597</v>
      </c>
      <c r="B202" s="9">
        <v>46206</v>
      </c>
      <c r="C202" s="8" t="s">
        <v>85</v>
      </c>
      <c r="D202" s="8" t="s">
        <v>32</v>
      </c>
      <c r="E202" s="8" t="s">
        <v>58</v>
      </c>
      <c r="F202" s="8" t="s">
        <v>34</v>
      </c>
      <c r="G202" s="8" t="s">
        <v>174</v>
      </c>
      <c r="H202" s="8" t="s">
        <v>598</v>
      </c>
      <c r="I202" s="8">
        <v>9.5519999999999996</v>
      </c>
      <c r="J202" s="8">
        <v>3</v>
      </c>
      <c r="K202" s="8">
        <v>0.2</v>
      </c>
      <c r="L202" s="8">
        <v>1.5522</v>
      </c>
    </row>
    <row r="203" spans="1:12" x14ac:dyDescent="0.25">
      <c r="A203" s="8" t="s">
        <v>599</v>
      </c>
      <c r="B203" s="9">
        <v>45220</v>
      </c>
      <c r="C203" s="8" t="s">
        <v>600</v>
      </c>
      <c r="D203" s="8" t="s">
        <v>32</v>
      </c>
      <c r="E203" s="8" t="s">
        <v>58</v>
      </c>
      <c r="F203" s="8" t="s">
        <v>34</v>
      </c>
      <c r="G203" s="8" t="s">
        <v>174</v>
      </c>
      <c r="H203" s="8" t="s">
        <v>601</v>
      </c>
      <c r="I203" s="8">
        <v>2.84</v>
      </c>
      <c r="J203" s="8">
        <v>1</v>
      </c>
      <c r="K203" s="8">
        <v>0</v>
      </c>
      <c r="L203" s="8">
        <v>0.88039999999999996</v>
      </c>
    </row>
    <row r="204" spans="1:12" x14ac:dyDescent="0.25">
      <c r="A204" s="8" t="s">
        <v>602</v>
      </c>
      <c r="B204" s="9">
        <v>46021</v>
      </c>
      <c r="C204" s="8" t="s">
        <v>603</v>
      </c>
      <c r="D204" s="8" t="s">
        <v>32</v>
      </c>
      <c r="E204" s="8" t="s">
        <v>33</v>
      </c>
      <c r="F204" s="8" t="s">
        <v>34</v>
      </c>
      <c r="G204" s="8" t="s">
        <v>174</v>
      </c>
      <c r="H204" s="8" t="s">
        <v>604</v>
      </c>
      <c r="I204" s="8">
        <v>16.52</v>
      </c>
      <c r="J204" s="8">
        <v>5</v>
      </c>
      <c r="K204" s="8">
        <v>0.2</v>
      </c>
      <c r="L204" s="8">
        <v>1.6519999999999999</v>
      </c>
    </row>
    <row r="205" spans="1:12" x14ac:dyDescent="0.25">
      <c r="A205" s="8" t="s">
        <v>605</v>
      </c>
      <c r="B205" s="9">
        <v>45104</v>
      </c>
      <c r="C205" s="8" t="s">
        <v>606</v>
      </c>
      <c r="D205" s="8" t="s">
        <v>39</v>
      </c>
      <c r="E205" s="8" t="s">
        <v>58</v>
      </c>
      <c r="F205" s="8" t="s">
        <v>41</v>
      </c>
      <c r="G205" s="8" t="s">
        <v>76</v>
      </c>
      <c r="H205" s="8" t="s">
        <v>607</v>
      </c>
      <c r="I205" s="8">
        <v>223.96</v>
      </c>
      <c r="J205" s="8">
        <v>4</v>
      </c>
      <c r="K205" s="8">
        <v>0</v>
      </c>
      <c r="L205" s="8">
        <v>53.750399999999999</v>
      </c>
    </row>
    <row r="206" spans="1:12" x14ac:dyDescent="0.25">
      <c r="A206" s="8" t="s">
        <v>608</v>
      </c>
      <c r="B206" s="9">
        <v>45399</v>
      </c>
      <c r="C206" s="8" t="s">
        <v>609</v>
      </c>
      <c r="D206" s="8" t="s">
        <v>39</v>
      </c>
      <c r="E206" s="8" t="s">
        <v>75</v>
      </c>
      <c r="F206" s="8" t="s">
        <v>34</v>
      </c>
      <c r="G206" s="8" t="s">
        <v>54</v>
      </c>
      <c r="H206" s="8" t="s">
        <v>610</v>
      </c>
      <c r="I206" s="8">
        <v>1447.65</v>
      </c>
      <c r="J206" s="8">
        <v>5</v>
      </c>
      <c r="K206" s="8">
        <v>0</v>
      </c>
      <c r="L206" s="8">
        <v>419.81849999999997</v>
      </c>
    </row>
    <row r="207" spans="1:12" x14ac:dyDescent="0.25">
      <c r="A207" s="8" t="s">
        <v>611</v>
      </c>
      <c r="B207" s="9">
        <v>46036</v>
      </c>
      <c r="C207" s="8" t="s">
        <v>612</v>
      </c>
      <c r="D207" s="8" t="s">
        <v>39</v>
      </c>
      <c r="E207" s="8" t="s">
        <v>75</v>
      </c>
      <c r="F207" s="8" t="s">
        <v>34</v>
      </c>
      <c r="G207" s="8" t="s">
        <v>35</v>
      </c>
      <c r="H207" s="8" t="s">
        <v>613</v>
      </c>
      <c r="I207" s="8">
        <v>154.9</v>
      </c>
      <c r="J207" s="8">
        <v>5</v>
      </c>
      <c r="K207" s="8">
        <v>0</v>
      </c>
      <c r="L207" s="8">
        <v>69.704999999999998</v>
      </c>
    </row>
    <row r="208" spans="1:12" x14ac:dyDescent="0.25">
      <c r="A208" s="8" t="s">
        <v>614</v>
      </c>
      <c r="B208" s="9">
        <v>45424</v>
      </c>
      <c r="C208" s="8" t="s">
        <v>146</v>
      </c>
      <c r="D208" s="8" t="s">
        <v>39</v>
      </c>
      <c r="E208" s="8" t="s">
        <v>75</v>
      </c>
      <c r="F208" s="8" t="s">
        <v>34</v>
      </c>
      <c r="G208" s="8" t="s">
        <v>35</v>
      </c>
      <c r="H208" s="8" t="s">
        <v>615</v>
      </c>
      <c r="I208" s="8">
        <v>12.84</v>
      </c>
      <c r="J208" s="8">
        <v>3</v>
      </c>
      <c r="K208" s="8">
        <v>0</v>
      </c>
      <c r="L208" s="8">
        <v>5.7779999999999996</v>
      </c>
    </row>
    <row r="209" spans="1:12" x14ac:dyDescent="0.25">
      <c r="A209" s="8" t="s">
        <v>616</v>
      </c>
      <c r="B209" s="9">
        <v>45780</v>
      </c>
      <c r="C209" s="8" t="s">
        <v>617</v>
      </c>
      <c r="D209" s="8" t="s">
        <v>39</v>
      </c>
      <c r="E209" s="8" t="s">
        <v>33</v>
      </c>
      <c r="F209" s="8" t="s">
        <v>41</v>
      </c>
      <c r="G209" s="8" t="s">
        <v>76</v>
      </c>
      <c r="H209" s="8" t="s">
        <v>112</v>
      </c>
      <c r="I209" s="8">
        <v>431.976</v>
      </c>
      <c r="J209" s="8">
        <v>3</v>
      </c>
      <c r="K209" s="8">
        <v>0.2</v>
      </c>
      <c r="L209" s="8">
        <v>-75.595799999999997</v>
      </c>
    </row>
    <row r="210" spans="1:12" x14ac:dyDescent="0.25">
      <c r="A210" s="8" t="s">
        <v>618</v>
      </c>
      <c r="B210" s="9">
        <v>45906</v>
      </c>
      <c r="C210" s="8" t="s">
        <v>619</v>
      </c>
      <c r="D210" s="8" t="s">
        <v>32</v>
      </c>
      <c r="E210" s="8" t="s">
        <v>40</v>
      </c>
      <c r="F210" s="8" t="s">
        <v>34</v>
      </c>
      <c r="G210" s="8" t="s">
        <v>35</v>
      </c>
      <c r="H210" s="8" t="s">
        <v>620</v>
      </c>
      <c r="I210" s="8">
        <v>41.92</v>
      </c>
      <c r="J210" s="8">
        <v>4</v>
      </c>
      <c r="K210" s="8">
        <v>0.2</v>
      </c>
      <c r="L210" s="8">
        <v>15.196</v>
      </c>
    </row>
    <row r="211" spans="1:12" x14ac:dyDescent="0.25">
      <c r="A211" s="8" t="s">
        <v>621</v>
      </c>
      <c r="B211" s="9">
        <v>45400</v>
      </c>
      <c r="C211" s="8" t="s">
        <v>622</v>
      </c>
      <c r="D211" s="8" t="s">
        <v>32</v>
      </c>
      <c r="E211" s="8" t="s">
        <v>40</v>
      </c>
      <c r="F211" s="8" t="s">
        <v>41</v>
      </c>
      <c r="G211" s="8" t="s">
        <v>42</v>
      </c>
      <c r="H211" s="8" t="s">
        <v>623</v>
      </c>
      <c r="I211" s="8">
        <v>97.968000000000004</v>
      </c>
      <c r="J211" s="8">
        <v>2</v>
      </c>
      <c r="K211" s="8">
        <v>0.2</v>
      </c>
      <c r="L211" s="8">
        <v>6.1229999999999896</v>
      </c>
    </row>
    <row r="212" spans="1:12" x14ac:dyDescent="0.25">
      <c r="A212" s="8" t="s">
        <v>624</v>
      </c>
      <c r="B212" s="9">
        <v>45973</v>
      </c>
      <c r="C212" s="8" t="s">
        <v>600</v>
      </c>
      <c r="D212" s="8" t="s">
        <v>32</v>
      </c>
      <c r="E212" s="8" t="s">
        <v>40</v>
      </c>
      <c r="F212" s="8" t="s">
        <v>34</v>
      </c>
      <c r="G212" s="8" t="s">
        <v>54</v>
      </c>
      <c r="H212" s="8" t="s">
        <v>625</v>
      </c>
      <c r="I212" s="8">
        <v>37.68</v>
      </c>
      <c r="J212" s="8">
        <v>2</v>
      </c>
      <c r="K212" s="8">
        <v>0</v>
      </c>
      <c r="L212" s="8">
        <v>10.5504</v>
      </c>
    </row>
    <row r="213" spans="1:12" x14ac:dyDescent="0.25">
      <c r="A213" s="8" t="s">
        <v>626</v>
      </c>
      <c r="B213" s="9">
        <v>46097</v>
      </c>
      <c r="C213" s="8" t="s">
        <v>627</v>
      </c>
      <c r="D213" s="8" t="s">
        <v>32</v>
      </c>
      <c r="E213" s="8" t="s">
        <v>75</v>
      </c>
      <c r="F213" s="8" t="s">
        <v>34</v>
      </c>
      <c r="G213" s="8" t="s">
        <v>54</v>
      </c>
      <c r="H213" s="8" t="s">
        <v>628</v>
      </c>
      <c r="I213" s="8">
        <v>140.66999999999999</v>
      </c>
      <c r="J213" s="8">
        <v>3</v>
      </c>
      <c r="K213" s="8">
        <v>0</v>
      </c>
      <c r="L213" s="8">
        <v>54.8613</v>
      </c>
    </row>
    <row r="214" spans="1:12" x14ac:dyDescent="0.25">
      <c r="A214" s="8" t="s">
        <v>629</v>
      </c>
      <c r="B214" s="9">
        <v>45290</v>
      </c>
      <c r="C214" s="8" t="s">
        <v>630</v>
      </c>
      <c r="D214" s="8" t="s">
        <v>32</v>
      </c>
      <c r="E214" s="8" t="s">
        <v>33</v>
      </c>
      <c r="F214" s="8" t="s">
        <v>41</v>
      </c>
      <c r="G214" s="8" t="s">
        <v>42</v>
      </c>
      <c r="H214" s="8" t="s">
        <v>631</v>
      </c>
      <c r="I214" s="8">
        <v>251.964</v>
      </c>
      <c r="J214" s="8">
        <v>6</v>
      </c>
      <c r="K214" s="8">
        <v>0.4</v>
      </c>
      <c r="L214" s="8">
        <v>-50.392800000000001</v>
      </c>
    </row>
    <row r="215" spans="1:12" x14ac:dyDescent="0.25">
      <c r="A215" s="8" t="s">
        <v>632</v>
      </c>
      <c r="B215" s="9">
        <v>46332</v>
      </c>
      <c r="C215" s="8" t="s">
        <v>633</v>
      </c>
      <c r="D215" s="8" t="s">
        <v>39</v>
      </c>
      <c r="E215" s="8" t="s">
        <v>40</v>
      </c>
      <c r="F215" s="8" t="s">
        <v>34</v>
      </c>
      <c r="G215" s="8" t="s">
        <v>47</v>
      </c>
      <c r="H215" s="8" t="s">
        <v>634</v>
      </c>
      <c r="I215" s="8">
        <v>18.16</v>
      </c>
      <c r="J215" s="8">
        <v>2</v>
      </c>
      <c r="K215" s="8">
        <v>0.2</v>
      </c>
      <c r="L215" s="8">
        <v>1.8160000000000001</v>
      </c>
    </row>
    <row r="216" spans="1:12" x14ac:dyDescent="0.25">
      <c r="A216" s="8" t="s">
        <v>635</v>
      </c>
      <c r="B216" s="9">
        <v>45905</v>
      </c>
      <c r="C216" s="8" t="s">
        <v>636</v>
      </c>
      <c r="D216" s="8" t="s">
        <v>39</v>
      </c>
      <c r="E216" s="8" t="s">
        <v>75</v>
      </c>
      <c r="F216" s="8" t="s">
        <v>34</v>
      </c>
      <c r="G216" s="8" t="s">
        <v>59</v>
      </c>
      <c r="H216" s="8" t="s">
        <v>637</v>
      </c>
      <c r="I216" s="8">
        <v>11.68</v>
      </c>
      <c r="J216" s="8">
        <v>2</v>
      </c>
      <c r="K216" s="8">
        <v>0.2</v>
      </c>
      <c r="L216" s="8">
        <v>3.9420000000000002</v>
      </c>
    </row>
    <row r="217" spans="1:12" x14ac:dyDescent="0.25">
      <c r="A217" s="8" t="s">
        <v>638</v>
      </c>
      <c r="B217" s="9">
        <v>46217</v>
      </c>
      <c r="C217" s="8" t="s">
        <v>105</v>
      </c>
      <c r="D217" s="8" t="s">
        <v>39</v>
      </c>
      <c r="E217" s="8" t="s">
        <v>33</v>
      </c>
      <c r="F217" s="8" t="s">
        <v>41</v>
      </c>
      <c r="G217" s="8" t="s">
        <v>42</v>
      </c>
      <c r="H217" s="8" t="s">
        <v>639</v>
      </c>
      <c r="I217" s="8">
        <v>1889.9459999999999</v>
      </c>
      <c r="J217" s="8">
        <v>9</v>
      </c>
      <c r="K217" s="8">
        <v>0.4</v>
      </c>
      <c r="L217" s="8">
        <v>-377.98919999999998</v>
      </c>
    </row>
    <row r="218" spans="1:12" x14ac:dyDescent="0.25">
      <c r="A218" s="8" t="s">
        <v>640</v>
      </c>
      <c r="B218" s="9">
        <v>45490</v>
      </c>
      <c r="C218" s="8" t="s">
        <v>622</v>
      </c>
      <c r="D218" s="8" t="s">
        <v>32</v>
      </c>
      <c r="E218" s="8" t="s">
        <v>58</v>
      </c>
      <c r="F218" s="8" t="s">
        <v>63</v>
      </c>
      <c r="G218" s="8" t="s">
        <v>325</v>
      </c>
      <c r="H218" s="8" t="s">
        <v>641</v>
      </c>
      <c r="I218" s="8">
        <v>231.92</v>
      </c>
      <c r="J218" s="8">
        <v>5</v>
      </c>
      <c r="K218" s="8">
        <v>0.2</v>
      </c>
      <c r="L218" s="8">
        <v>5.798</v>
      </c>
    </row>
    <row r="219" spans="1:12" x14ac:dyDescent="0.25">
      <c r="A219" s="8" t="s">
        <v>642</v>
      </c>
      <c r="B219" s="9">
        <v>45086</v>
      </c>
      <c r="C219" s="8" t="s">
        <v>643</v>
      </c>
      <c r="D219" s="8" t="s">
        <v>39</v>
      </c>
      <c r="E219" s="8" t="s">
        <v>75</v>
      </c>
      <c r="F219" s="8" t="s">
        <v>34</v>
      </c>
      <c r="G219" s="8" t="s">
        <v>68</v>
      </c>
      <c r="H219" s="8" t="s">
        <v>644</v>
      </c>
      <c r="I219" s="8">
        <v>7.36</v>
      </c>
      <c r="J219" s="8">
        <v>2</v>
      </c>
      <c r="K219" s="8">
        <v>0</v>
      </c>
      <c r="L219" s="8">
        <v>0.1472</v>
      </c>
    </row>
    <row r="220" spans="1:12" x14ac:dyDescent="0.25">
      <c r="A220" s="8" t="s">
        <v>645</v>
      </c>
      <c r="B220" s="9">
        <v>46308</v>
      </c>
      <c r="C220" s="8" t="s">
        <v>213</v>
      </c>
      <c r="D220" s="8" t="s">
        <v>32</v>
      </c>
      <c r="E220" s="8" t="s">
        <v>33</v>
      </c>
      <c r="F220" s="8" t="s">
        <v>34</v>
      </c>
      <c r="G220" s="8" t="s">
        <v>47</v>
      </c>
      <c r="H220" s="8" t="s">
        <v>646</v>
      </c>
      <c r="I220" s="8">
        <v>59.712000000000003</v>
      </c>
      <c r="J220" s="8">
        <v>6</v>
      </c>
      <c r="K220" s="8">
        <v>0.2</v>
      </c>
      <c r="L220" s="8">
        <v>5.9711999999999996</v>
      </c>
    </row>
    <row r="221" spans="1:12" x14ac:dyDescent="0.25">
      <c r="A221" s="8" t="s">
        <v>647</v>
      </c>
      <c r="B221" s="9">
        <v>45191</v>
      </c>
      <c r="C221" s="8" t="s">
        <v>648</v>
      </c>
      <c r="D221" s="8" t="s">
        <v>39</v>
      </c>
      <c r="E221" s="8" t="s">
        <v>33</v>
      </c>
      <c r="F221" s="8" t="s">
        <v>34</v>
      </c>
      <c r="G221" s="8" t="s">
        <v>59</v>
      </c>
      <c r="H221" s="8" t="s">
        <v>582</v>
      </c>
      <c r="I221" s="8">
        <v>3.984</v>
      </c>
      <c r="J221" s="8">
        <v>1</v>
      </c>
      <c r="K221" s="8">
        <v>0.2</v>
      </c>
      <c r="L221" s="8">
        <v>1.3944000000000001</v>
      </c>
    </row>
    <row r="222" spans="1:12" x14ac:dyDescent="0.25">
      <c r="A222" s="8" t="s">
        <v>649</v>
      </c>
      <c r="B222" s="9">
        <v>45820</v>
      </c>
      <c r="C222" s="8" t="s">
        <v>650</v>
      </c>
      <c r="D222" s="8" t="s">
        <v>46</v>
      </c>
      <c r="E222" s="8" t="s">
        <v>40</v>
      </c>
      <c r="F222" s="8" t="s">
        <v>34</v>
      </c>
      <c r="G222" s="8" t="s">
        <v>47</v>
      </c>
      <c r="H222" s="8" t="s">
        <v>651</v>
      </c>
      <c r="I222" s="8">
        <v>67.536000000000001</v>
      </c>
      <c r="J222" s="8">
        <v>9</v>
      </c>
      <c r="K222" s="8">
        <v>0.2</v>
      </c>
      <c r="L222" s="8">
        <v>6.7535999999999996</v>
      </c>
    </row>
    <row r="223" spans="1:12" x14ac:dyDescent="0.25">
      <c r="A223" s="8" t="s">
        <v>652</v>
      </c>
      <c r="B223" s="9">
        <v>46312</v>
      </c>
      <c r="C223" s="8" t="s">
        <v>653</v>
      </c>
      <c r="D223" s="8" t="s">
        <v>32</v>
      </c>
      <c r="E223" s="8" t="s">
        <v>33</v>
      </c>
      <c r="F223" s="8" t="s">
        <v>34</v>
      </c>
      <c r="G223" s="8" t="s">
        <v>47</v>
      </c>
      <c r="H223" s="8" t="s">
        <v>654</v>
      </c>
      <c r="I223" s="8">
        <v>49.96</v>
      </c>
      <c r="J223" s="8">
        <v>2</v>
      </c>
      <c r="K223" s="8">
        <v>0</v>
      </c>
      <c r="L223" s="8">
        <v>9.4923999999999999</v>
      </c>
    </row>
    <row r="224" spans="1:12" x14ac:dyDescent="0.25">
      <c r="A224" s="8" t="s">
        <v>655</v>
      </c>
      <c r="B224" s="9">
        <v>45871</v>
      </c>
      <c r="C224" s="8" t="s">
        <v>656</v>
      </c>
      <c r="D224" s="8" t="s">
        <v>32</v>
      </c>
      <c r="E224" s="8" t="s">
        <v>75</v>
      </c>
      <c r="F224" s="8" t="s">
        <v>34</v>
      </c>
      <c r="G224" s="8" t="s">
        <v>59</v>
      </c>
      <c r="H224" s="8" t="s">
        <v>657</v>
      </c>
      <c r="I224" s="8">
        <v>12.544</v>
      </c>
      <c r="J224" s="8">
        <v>2</v>
      </c>
      <c r="K224" s="8">
        <v>0.2</v>
      </c>
      <c r="L224" s="8">
        <v>4.7039999999999997</v>
      </c>
    </row>
    <row r="225" spans="1:12" x14ac:dyDescent="0.25">
      <c r="A225" s="8" t="s">
        <v>658</v>
      </c>
      <c r="B225" s="9">
        <v>45520</v>
      </c>
      <c r="C225" s="8" t="s">
        <v>659</v>
      </c>
      <c r="D225" s="8" t="s">
        <v>32</v>
      </c>
      <c r="E225" s="8" t="s">
        <v>33</v>
      </c>
      <c r="F225" s="8" t="s">
        <v>34</v>
      </c>
      <c r="G225" s="8" t="s">
        <v>59</v>
      </c>
      <c r="H225" s="8" t="s">
        <v>162</v>
      </c>
      <c r="I225" s="8">
        <v>3.762</v>
      </c>
      <c r="J225" s="8">
        <v>3</v>
      </c>
      <c r="K225" s="8">
        <v>0.7</v>
      </c>
      <c r="L225" s="8">
        <v>-2.7587999999999999</v>
      </c>
    </row>
    <row r="226" spans="1:12" x14ac:dyDescent="0.25">
      <c r="A226" s="8" t="s">
        <v>660</v>
      </c>
      <c r="B226" s="9">
        <v>45920</v>
      </c>
      <c r="C226" s="8" t="s">
        <v>661</v>
      </c>
      <c r="D226" s="8" t="s">
        <v>32</v>
      </c>
      <c r="E226" s="8" t="s">
        <v>75</v>
      </c>
      <c r="F226" s="8" t="s">
        <v>34</v>
      </c>
      <c r="G226" s="8" t="s">
        <v>59</v>
      </c>
      <c r="H226" s="8" t="s">
        <v>662</v>
      </c>
      <c r="I226" s="8">
        <v>271.98399999999998</v>
      </c>
      <c r="J226" s="8">
        <v>2</v>
      </c>
      <c r="K226" s="8">
        <v>0.2</v>
      </c>
      <c r="L226" s="8">
        <v>88.394800000000004</v>
      </c>
    </row>
    <row r="227" spans="1:12" x14ac:dyDescent="0.25">
      <c r="A227" s="8" t="s">
        <v>663</v>
      </c>
      <c r="B227" s="9">
        <v>46175</v>
      </c>
      <c r="C227" s="8" t="s">
        <v>664</v>
      </c>
      <c r="D227" s="8" t="s">
        <v>46</v>
      </c>
      <c r="E227" s="8" t="s">
        <v>33</v>
      </c>
      <c r="F227" s="8" t="s">
        <v>41</v>
      </c>
      <c r="G227" s="8" t="s">
        <v>42</v>
      </c>
      <c r="H227" s="8" t="s">
        <v>565</v>
      </c>
      <c r="I227" s="8">
        <v>2.97</v>
      </c>
      <c r="J227" s="8">
        <v>1</v>
      </c>
      <c r="K227" s="8">
        <v>0.4</v>
      </c>
      <c r="L227" s="8">
        <v>-0.64349999999999996</v>
      </c>
    </row>
    <row r="228" spans="1:12" x14ac:dyDescent="0.25">
      <c r="A228" s="8" t="s">
        <v>665</v>
      </c>
      <c r="B228" s="9">
        <v>45852</v>
      </c>
      <c r="C228" s="8" t="s">
        <v>328</v>
      </c>
      <c r="D228" s="8" t="s">
        <v>39</v>
      </c>
      <c r="E228" s="8" t="s">
        <v>33</v>
      </c>
      <c r="F228" s="8" t="s">
        <v>34</v>
      </c>
      <c r="G228" s="8" t="s">
        <v>68</v>
      </c>
      <c r="H228" s="8" t="s">
        <v>666</v>
      </c>
      <c r="I228" s="8">
        <v>11.632</v>
      </c>
      <c r="J228" s="8">
        <v>2</v>
      </c>
      <c r="K228" s="8">
        <v>0.2</v>
      </c>
      <c r="L228" s="8">
        <v>1.0178</v>
      </c>
    </row>
    <row r="229" spans="1:12" x14ac:dyDescent="0.25">
      <c r="A229" s="8" t="s">
        <v>667</v>
      </c>
      <c r="B229" s="9">
        <v>45582</v>
      </c>
      <c r="C229" s="8" t="s">
        <v>668</v>
      </c>
      <c r="D229" s="8" t="s">
        <v>39</v>
      </c>
      <c r="E229" s="8" t="s">
        <v>75</v>
      </c>
      <c r="F229" s="8" t="s">
        <v>34</v>
      </c>
      <c r="G229" s="8" t="s">
        <v>47</v>
      </c>
      <c r="H229" s="8" t="s">
        <v>669</v>
      </c>
      <c r="I229" s="8">
        <v>77.88</v>
      </c>
      <c r="J229" s="8">
        <v>2</v>
      </c>
      <c r="K229" s="8">
        <v>0</v>
      </c>
      <c r="L229" s="8">
        <v>3.8939999999999899</v>
      </c>
    </row>
    <row r="230" spans="1:12" x14ac:dyDescent="0.25">
      <c r="A230" s="8" t="s">
        <v>670</v>
      </c>
      <c r="B230" s="9">
        <v>46183</v>
      </c>
      <c r="C230" s="8" t="s">
        <v>671</v>
      </c>
      <c r="D230" s="8" t="s">
        <v>39</v>
      </c>
      <c r="E230" s="8" t="s">
        <v>40</v>
      </c>
      <c r="F230" s="8" t="s">
        <v>41</v>
      </c>
      <c r="G230" s="8" t="s">
        <v>76</v>
      </c>
      <c r="H230" s="8" t="s">
        <v>672</v>
      </c>
      <c r="I230" s="8">
        <v>132.52000000000001</v>
      </c>
      <c r="J230" s="8">
        <v>4</v>
      </c>
      <c r="K230" s="8">
        <v>0</v>
      </c>
      <c r="L230" s="8">
        <v>54.333199999999998</v>
      </c>
    </row>
    <row r="231" spans="1:12" x14ac:dyDescent="0.25">
      <c r="A231" s="8" t="s">
        <v>673</v>
      </c>
      <c r="B231" s="9">
        <v>46366</v>
      </c>
      <c r="C231" s="8" t="s">
        <v>674</v>
      </c>
      <c r="D231" s="8" t="s">
        <v>39</v>
      </c>
      <c r="E231" s="8" t="s">
        <v>75</v>
      </c>
      <c r="F231" s="8" t="s">
        <v>34</v>
      </c>
      <c r="G231" s="8" t="s">
        <v>35</v>
      </c>
      <c r="H231" s="8" t="s">
        <v>675</v>
      </c>
      <c r="I231" s="8">
        <v>12.96</v>
      </c>
      <c r="J231" s="8">
        <v>2</v>
      </c>
      <c r="K231" s="8">
        <v>0</v>
      </c>
      <c r="L231" s="8">
        <v>6.2207999999999997</v>
      </c>
    </row>
    <row r="232" spans="1:12" x14ac:dyDescent="0.25">
      <c r="A232" s="8" t="s">
        <v>676</v>
      </c>
      <c r="B232" s="9">
        <v>46211</v>
      </c>
      <c r="C232" s="8" t="s">
        <v>677</v>
      </c>
      <c r="D232" s="8" t="s">
        <v>39</v>
      </c>
      <c r="E232" s="8" t="s">
        <v>75</v>
      </c>
      <c r="F232" s="8" t="s">
        <v>34</v>
      </c>
      <c r="G232" s="8" t="s">
        <v>102</v>
      </c>
      <c r="H232" s="8" t="s">
        <v>678</v>
      </c>
      <c r="I232" s="8">
        <v>75.180000000000007</v>
      </c>
      <c r="J232" s="8">
        <v>6</v>
      </c>
      <c r="K232" s="8">
        <v>0</v>
      </c>
      <c r="L232" s="8">
        <v>35.334600000000002</v>
      </c>
    </row>
    <row r="233" spans="1:12" x14ac:dyDescent="0.25">
      <c r="A233" s="8" t="s">
        <v>679</v>
      </c>
      <c r="B233" s="9">
        <v>46307</v>
      </c>
      <c r="C233" s="8" t="s">
        <v>680</v>
      </c>
      <c r="D233" s="8" t="s">
        <v>46</v>
      </c>
      <c r="E233" s="8" t="s">
        <v>75</v>
      </c>
      <c r="F233" s="8" t="s">
        <v>34</v>
      </c>
      <c r="G233" s="8" t="s">
        <v>59</v>
      </c>
      <c r="H233" s="8" t="s">
        <v>202</v>
      </c>
      <c r="I233" s="8">
        <v>101.84</v>
      </c>
      <c r="J233" s="8">
        <v>5</v>
      </c>
      <c r="K233" s="8">
        <v>0.2</v>
      </c>
      <c r="L233" s="8">
        <v>36.917000000000002</v>
      </c>
    </row>
    <row r="234" spans="1:12" x14ac:dyDescent="0.25">
      <c r="A234" s="8" t="s">
        <v>681</v>
      </c>
      <c r="B234" s="9">
        <v>46154</v>
      </c>
      <c r="C234" s="8" t="s">
        <v>682</v>
      </c>
      <c r="D234" s="8" t="s">
        <v>39</v>
      </c>
      <c r="E234" s="8" t="s">
        <v>33</v>
      </c>
      <c r="F234" s="8" t="s">
        <v>34</v>
      </c>
      <c r="G234" s="8" t="s">
        <v>68</v>
      </c>
      <c r="H234" s="8" t="s">
        <v>683</v>
      </c>
      <c r="I234" s="8">
        <v>17</v>
      </c>
      <c r="J234" s="8">
        <v>2</v>
      </c>
      <c r="K234" s="8">
        <v>0</v>
      </c>
      <c r="L234" s="8">
        <v>4.42</v>
      </c>
    </row>
    <row r="235" spans="1:12" x14ac:dyDescent="0.25">
      <c r="A235" s="8" t="s">
        <v>684</v>
      </c>
      <c r="B235" s="9">
        <v>46344</v>
      </c>
      <c r="C235" s="8" t="s">
        <v>685</v>
      </c>
      <c r="D235" s="8" t="s">
        <v>39</v>
      </c>
      <c r="E235" s="8" t="s">
        <v>58</v>
      </c>
      <c r="F235" s="8" t="s">
        <v>34</v>
      </c>
      <c r="G235" s="8" t="s">
        <v>68</v>
      </c>
      <c r="H235" s="8" t="s">
        <v>644</v>
      </c>
      <c r="I235" s="8">
        <v>2.944</v>
      </c>
      <c r="J235" s="8">
        <v>1</v>
      </c>
      <c r="K235" s="8">
        <v>0.2</v>
      </c>
      <c r="L235" s="8">
        <v>-0.66239999999999999</v>
      </c>
    </row>
    <row r="236" spans="1:12" x14ac:dyDescent="0.25">
      <c r="A236" s="8" t="s">
        <v>686</v>
      </c>
      <c r="B236" s="9">
        <v>46059</v>
      </c>
      <c r="C236" s="8" t="s">
        <v>687</v>
      </c>
      <c r="D236" s="8" t="s">
        <v>32</v>
      </c>
      <c r="E236" s="8" t="s">
        <v>33</v>
      </c>
      <c r="F236" s="8" t="s">
        <v>41</v>
      </c>
      <c r="G236" s="8" t="s">
        <v>42</v>
      </c>
      <c r="H236" s="8" t="s">
        <v>688</v>
      </c>
      <c r="I236" s="8">
        <v>227.46</v>
      </c>
      <c r="J236" s="8">
        <v>6</v>
      </c>
      <c r="K236" s="8">
        <v>0</v>
      </c>
      <c r="L236" s="8">
        <v>65.963399999999993</v>
      </c>
    </row>
    <row r="237" spans="1:12" x14ac:dyDescent="0.25">
      <c r="A237" s="8" t="s">
        <v>689</v>
      </c>
      <c r="B237" s="9">
        <v>45189</v>
      </c>
      <c r="C237" s="8" t="s">
        <v>690</v>
      </c>
      <c r="D237" s="8" t="s">
        <v>39</v>
      </c>
      <c r="E237" s="8" t="s">
        <v>33</v>
      </c>
      <c r="F237" s="8" t="s">
        <v>63</v>
      </c>
      <c r="G237" s="8" t="s">
        <v>325</v>
      </c>
      <c r="H237" s="8" t="s">
        <v>691</v>
      </c>
      <c r="I237" s="8">
        <v>362.94</v>
      </c>
      <c r="J237" s="8">
        <v>3</v>
      </c>
      <c r="K237" s="8">
        <v>0</v>
      </c>
      <c r="L237" s="8">
        <v>36.293999999999997</v>
      </c>
    </row>
    <row r="238" spans="1:12" x14ac:dyDescent="0.25">
      <c r="A238" s="8" t="s">
        <v>692</v>
      </c>
      <c r="B238" s="9">
        <v>45560</v>
      </c>
      <c r="C238" s="8" t="s">
        <v>693</v>
      </c>
      <c r="D238" s="8" t="s">
        <v>39</v>
      </c>
      <c r="E238" s="8" t="s">
        <v>75</v>
      </c>
      <c r="F238" s="8" t="s">
        <v>34</v>
      </c>
      <c r="G238" s="8" t="s">
        <v>115</v>
      </c>
      <c r="H238" s="8" t="s">
        <v>694</v>
      </c>
      <c r="I238" s="8">
        <v>17.48</v>
      </c>
      <c r="J238" s="8">
        <v>2</v>
      </c>
      <c r="K238" s="8">
        <v>0</v>
      </c>
      <c r="L238" s="8">
        <v>8.2156000000000002</v>
      </c>
    </row>
    <row r="239" spans="1:12" x14ac:dyDescent="0.25">
      <c r="A239" s="8" t="s">
        <v>695</v>
      </c>
      <c r="B239" s="9">
        <v>46223</v>
      </c>
      <c r="C239" s="8" t="s">
        <v>696</v>
      </c>
      <c r="D239" s="8" t="s">
        <v>32</v>
      </c>
      <c r="E239" s="8" t="s">
        <v>33</v>
      </c>
      <c r="F239" s="8" t="s">
        <v>63</v>
      </c>
      <c r="G239" s="8" t="s">
        <v>86</v>
      </c>
      <c r="H239" s="8" t="s">
        <v>697</v>
      </c>
      <c r="I239" s="8">
        <v>183.92</v>
      </c>
      <c r="J239" s="8">
        <v>4</v>
      </c>
      <c r="K239" s="8">
        <v>0</v>
      </c>
      <c r="L239" s="8">
        <v>31.266400000000001</v>
      </c>
    </row>
    <row r="240" spans="1:12" x14ac:dyDescent="0.25">
      <c r="A240" s="8" t="s">
        <v>698</v>
      </c>
      <c r="B240" s="9">
        <v>45245</v>
      </c>
      <c r="C240" s="8" t="s">
        <v>699</v>
      </c>
      <c r="D240" s="8" t="s">
        <v>39</v>
      </c>
      <c r="E240" s="8" t="s">
        <v>58</v>
      </c>
      <c r="F240" s="8" t="s">
        <v>34</v>
      </c>
      <c r="G240" s="8" t="s">
        <v>54</v>
      </c>
      <c r="H240" s="8" t="s">
        <v>700</v>
      </c>
      <c r="I240" s="8">
        <v>333.05599999999998</v>
      </c>
      <c r="J240" s="8">
        <v>2</v>
      </c>
      <c r="K240" s="8">
        <v>0.2</v>
      </c>
      <c r="L240" s="8">
        <v>29.142399999999999</v>
      </c>
    </row>
    <row r="241" spans="1:12" x14ac:dyDescent="0.25">
      <c r="A241" s="8" t="s">
        <v>701</v>
      </c>
      <c r="B241" s="9">
        <v>45762</v>
      </c>
      <c r="C241" s="8" t="s">
        <v>246</v>
      </c>
      <c r="D241" s="8" t="s">
        <v>46</v>
      </c>
      <c r="E241" s="8" t="s">
        <v>58</v>
      </c>
      <c r="F241" s="8" t="s">
        <v>41</v>
      </c>
      <c r="G241" s="8" t="s">
        <v>76</v>
      </c>
      <c r="H241" s="8" t="s">
        <v>702</v>
      </c>
      <c r="I241" s="8">
        <v>291.95999999999998</v>
      </c>
      <c r="J241" s="8">
        <v>5</v>
      </c>
      <c r="K241" s="8">
        <v>0.2</v>
      </c>
      <c r="L241" s="8">
        <v>54.7425</v>
      </c>
    </row>
    <row r="242" spans="1:12" x14ac:dyDescent="0.25">
      <c r="A242" s="8" t="s">
        <v>703</v>
      </c>
      <c r="B242" s="9">
        <v>46342</v>
      </c>
      <c r="C242" s="8" t="s">
        <v>183</v>
      </c>
      <c r="D242" s="8" t="s">
        <v>32</v>
      </c>
      <c r="E242" s="8" t="s">
        <v>33</v>
      </c>
      <c r="F242" s="8" t="s">
        <v>34</v>
      </c>
      <c r="G242" s="8" t="s">
        <v>59</v>
      </c>
      <c r="H242" s="8" t="s">
        <v>704</v>
      </c>
      <c r="I242" s="8">
        <v>1.8240000000000001</v>
      </c>
      <c r="J242" s="8">
        <v>1</v>
      </c>
      <c r="K242" s="8">
        <v>0.7</v>
      </c>
      <c r="L242" s="8">
        <v>-1.3984000000000001</v>
      </c>
    </row>
    <row r="243" spans="1:12" x14ac:dyDescent="0.25">
      <c r="A243" s="8" t="s">
        <v>705</v>
      </c>
      <c r="B243" s="9">
        <v>44992</v>
      </c>
      <c r="C243" s="8" t="s">
        <v>706</v>
      </c>
      <c r="D243" s="8" t="s">
        <v>32</v>
      </c>
      <c r="E243" s="8" t="s">
        <v>75</v>
      </c>
      <c r="F243" s="8" t="s">
        <v>34</v>
      </c>
      <c r="G243" s="8" t="s">
        <v>174</v>
      </c>
      <c r="H243" s="8" t="s">
        <v>707</v>
      </c>
      <c r="I243" s="8">
        <v>20.65</v>
      </c>
      <c r="J243" s="8">
        <v>5</v>
      </c>
      <c r="K243" s="8">
        <v>0</v>
      </c>
      <c r="L243" s="8">
        <v>9.4990000000000006</v>
      </c>
    </row>
    <row r="244" spans="1:12" x14ac:dyDescent="0.25">
      <c r="A244" s="8" t="s">
        <v>708</v>
      </c>
      <c r="B244" s="9">
        <v>45729</v>
      </c>
      <c r="C244" s="8" t="s">
        <v>434</v>
      </c>
      <c r="D244" s="8" t="s">
        <v>32</v>
      </c>
      <c r="E244" s="8" t="s">
        <v>33</v>
      </c>
      <c r="F244" s="8" t="s">
        <v>34</v>
      </c>
      <c r="G244" s="8" t="s">
        <v>47</v>
      </c>
      <c r="H244" s="8" t="s">
        <v>270</v>
      </c>
      <c r="I244" s="8">
        <v>552.55999999999995</v>
      </c>
      <c r="J244" s="8">
        <v>5</v>
      </c>
      <c r="K244" s="8">
        <v>0.2</v>
      </c>
      <c r="L244" s="8">
        <v>-138.13999999999999</v>
      </c>
    </row>
    <row r="245" spans="1:12" x14ac:dyDescent="0.25">
      <c r="A245" s="8" t="s">
        <v>709</v>
      </c>
      <c r="B245" s="9">
        <v>46230</v>
      </c>
      <c r="C245" s="8" t="s">
        <v>710</v>
      </c>
      <c r="D245" s="8" t="s">
        <v>39</v>
      </c>
      <c r="E245" s="8" t="s">
        <v>33</v>
      </c>
      <c r="F245" s="8" t="s">
        <v>41</v>
      </c>
      <c r="G245" s="8" t="s">
        <v>42</v>
      </c>
      <c r="H245" s="8" t="s">
        <v>711</v>
      </c>
      <c r="I245" s="8">
        <v>543.91999999999996</v>
      </c>
      <c r="J245" s="8">
        <v>8</v>
      </c>
      <c r="K245" s="8">
        <v>0</v>
      </c>
      <c r="L245" s="8">
        <v>135.97999999999999</v>
      </c>
    </row>
    <row r="246" spans="1:12" x14ac:dyDescent="0.25">
      <c r="A246" s="8" t="s">
        <v>712</v>
      </c>
      <c r="B246" s="9">
        <v>46318</v>
      </c>
      <c r="C246" s="8" t="s">
        <v>713</v>
      </c>
      <c r="D246" s="8" t="s">
        <v>32</v>
      </c>
      <c r="E246" s="8" t="s">
        <v>33</v>
      </c>
      <c r="F246" s="8" t="s">
        <v>63</v>
      </c>
      <c r="G246" s="8" t="s">
        <v>86</v>
      </c>
      <c r="H246" s="8" t="s">
        <v>714</v>
      </c>
      <c r="I246" s="8">
        <v>35</v>
      </c>
      <c r="J246" s="8">
        <v>4</v>
      </c>
      <c r="K246" s="8">
        <v>0</v>
      </c>
      <c r="L246" s="8">
        <v>14.7</v>
      </c>
    </row>
    <row r="247" spans="1:12" x14ac:dyDescent="0.25">
      <c r="A247" s="8" t="s">
        <v>715</v>
      </c>
      <c r="B247" s="9">
        <v>46346</v>
      </c>
      <c r="C247" s="8" t="s">
        <v>716</v>
      </c>
      <c r="D247" s="8" t="s">
        <v>39</v>
      </c>
      <c r="E247" s="8" t="s">
        <v>75</v>
      </c>
      <c r="F247" s="8" t="s">
        <v>34</v>
      </c>
      <c r="G247" s="8" t="s">
        <v>59</v>
      </c>
      <c r="H247" s="8" t="s">
        <v>717</v>
      </c>
      <c r="I247" s="8">
        <v>84.055999999999997</v>
      </c>
      <c r="J247" s="8">
        <v>7</v>
      </c>
      <c r="K247" s="8">
        <v>0.2</v>
      </c>
      <c r="L247" s="8">
        <v>27.318200000000001</v>
      </c>
    </row>
    <row r="248" spans="1:12" x14ac:dyDescent="0.25">
      <c r="A248" s="8" t="s">
        <v>718</v>
      </c>
      <c r="B248" s="9">
        <v>46070</v>
      </c>
      <c r="C248" s="8" t="s">
        <v>719</v>
      </c>
      <c r="D248" s="8" t="s">
        <v>46</v>
      </c>
      <c r="E248" s="8" t="s">
        <v>33</v>
      </c>
      <c r="F248" s="8" t="s">
        <v>41</v>
      </c>
      <c r="G248" s="8" t="s">
        <v>42</v>
      </c>
      <c r="H248" s="8" t="s">
        <v>720</v>
      </c>
      <c r="I248" s="8">
        <v>57.594000000000001</v>
      </c>
      <c r="J248" s="8">
        <v>1</v>
      </c>
      <c r="K248" s="8">
        <v>0.4</v>
      </c>
      <c r="L248" s="8">
        <v>-11.518800000000001</v>
      </c>
    </row>
    <row r="249" spans="1:12" x14ac:dyDescent="0.25">
      <c r="A249" s="8" t="s">
        <v>721</v>
      </c>
      <c r="B249" s="9">
        <v>46003</v>
      </c>
      <c r="C249" s="8" t="s">
        <v>375</v>
      </c>
      <c r="D249" s="8" t="s">
        <v>39</v>
      </c>
      <c r="E249" s="8" t="s">
        <v>75</v>
      </c>
      <c r="F249" s="8" t="s">
        <v>34</v>
      </c>
      <c r="G249" s="8" t="s">
        <v>115</v>
      </c>
      <c r="H249" s="8" t="s">
        <v>722</v>
      </c>
      <c r="I249" s="8">
        <v>15.52</v>
      </c>
      <c r="J249" s="8">
        <v>4</v>
      </c>
      <c r="K249" s="8">
        <v>0</v>
      </c>
      <c r="L249" s="8">
        <v>7.45</v>
      </c>
    </row>
    <row r="250" spans="1:12" x14ac:dyDescent="0.25">
      <c r="A250" s="8" t="s">
        <v>245</v>
      </c>
      <c r="B250" s="9">
        <v>45814</v>
      </c>
      <c r="C250" s="8" t="s">
        <v>246</v>
      </c>
      <c r="D250" s="8" t="s">
        <v>46</v>
      </c>
      <c r="E250" s="8" t="s">
        <v>75</v>
      </c>
      <c r="F250" s="8" t="s">
        <v>34</v>
      </c>
      <c r="G250" s="8" t="s">
        <v>102</v>
      </c>
      <c r="H250" s="8" t="s">
        <v>187</v>
      </c>
      <c r="I250" s="8">
        <v>22.05</v>
      </c>
      <c r="J250" s="8">
        <v>7</v>
      </c>
      <c r="K250" s="8">
        <v>0</v>
      </c>
      <c r="L250" s="8">
        <v>10.584</v>
      </c>
    </row>
    <row r="251" spans="1:12" x14ac:dyDescent="0.25">
      <c r="A251" s="8" t="s">
        <v>723</v>
      </c>
      <c r="B251" s="9">
        <v>45143</v>
      </c>
      <c r="C251" s="8" t="s">
        <v>454</v>
      </c>
      <c r="D251" s="8" t="s">
        <v>39</v>
      </c>
      <c r="E251" s="8" t="s">
        <v>75</v>
      </c>
      <c r="F251" s="8" t="s">
        <v>34</v>
      </c>
      <c r="G251" s="8" t="s">
        <v>47</v>
      </c>
      <c r="H251" s="8" t="s">
        <v>724</v>
      </c>
      <c r="I251" s="8">
        <v>15.78</v>
      </c>
      <c r="J251" s="8">
        <v>2</v>
      </c>
      <c r="K251" s="8">
        <v>0</v>
      </c>
      <c r="L251" s="8">
        <v>0.63119999999999798</v>
      </c>
    </row>
    <row r="252" spans="1:12" x14ac:dyDescent="0.25">
      <c r="A252" s="8" t="s">
        <v>725</v>
      </c>
      <c r="B252" s="9">
        <v>46267</v>
      </c>
      <c r="C252" s="8" t="s">
        <v>726</v>
      </c>
      <c r="D252" s="8" t="s">
        <v>32</v>
      </c>
      <c r="E252" s="8" t="s">
        <v>33</v>
      </c>
      <c r="F252" s="8" t="s">
        <v>34</v>
      </c>
      <c r="G252" s="8" t="s">
        <v>35</v>
      </c>
      <c r="H252" s="8" t="s">
        <v>615</v>
      </c>
      <c r="I252" s="8">
        <v>17.12</v>
      </c>
      <c r="J252" s="8">
        <v>4</v>
      </c>
      <c r="K252" s="8">
        <v>0</v>
      </c>
      <c r="L252" s="8">
        <v>7.7039999999999997</v>
      </c>
    </row>
    <row r="253" spans="1:12" x14ac:dyDescent="0.25">
      <c r="A253" s="8" t="s">
        <v>727</v>
      </c>
      <c r="B253" s="9">
        <v>45258</v>
      </c>
      <c r="C253" s="8" t="s">
        <v>728</v>
      </c>
      <c r="D253" s="8" t="s">
        <v>46</v>
      </c>
      <c r="E253" s="8" t="s">
        <v>75</v>
      </c>
      <c r="F253" s="8" t="s">
        <v>34</v>
      </c>
      <c r="G253" s="8" t="s">
        <v>102</v>
      </c>
      <c r="H253" s="8" t="s">
        <v>729</v>
      </c>
      <c r="I253" s="8">
        <v>41.4</v>
      </c>
      <c r="J253" s="8">
        <v>4</v>
      </c>
      <c r="K253" s="8">
        <v>0</v>
      </c>
      <c r="L253" s="8">
        <v>19.872</v>
      </c>
    </row>
    <row r="254" spans="1:12" x14ac:dyDescent="0.25">
      <c r="A254" s="8" t="s">
        <v>730</v>
      </c>
      <c r="B254" s="9">
        <v>46124</v>
      </c>
      <c r="C254" s="8" t="s">
        <v>731</v>
      </c>
      <c r="D254" s="8" t="s">
        <v>39</v>
      </c>
      <c r="E254" s="8" t="s">
        <v>33</v>
      </c>
      <c r="F254" s="8" t="s">
        <v>34</v>
      </c>
      <c r="G254" s="8" t="s">
        <v>59</v>
      </c>
      <c r="H254" s="8" t="s">
        <v>732</v>
      </c>
      <c r="I254" s="8">
        <v>29.7</v>
      </c>
      <c r="J254" s="8">
        <v>5</v>
      </c>
      <c r="K254" s="8">
        <v>0</v>
      </c>
      <c r="L254" s="8">
        <v>13.365</v>
      </c>
    </row>
    <row r="255" spans="1:12" x14ac:dyDescent="0.25">
      <c r="A255" s="8" t="s">
        <v>242</v>
      </c>
      <c r="B255" s="9">
        <v>45769</v>
      </c>
      <c r="C255" s="8" t="s">
        <v>243</v>
      </c>
      <c r="D255" s="8" t="s">
        <v>39</v>
      </c>
      <c r="E255" s="8" t="s">
        <v>33</v>
      </c>
      <c r="F255" s="8" t="s">
        <v>34</v>
      </c>
      <c r="G255" s="8" t="s">
        <v>174</v>
      </c>
      <c r="H255" s="8" t="s">
        <v>733</v>
      </c>
      <c r="I255" s="8">
        <v>2.88</v>
      </c>
      <c r="J255" s="8">
        <v>1</v>
      </c>
      <c r="K255" s="8">
        <v>0</v>
      </c>
      <c r="L255" s="8">
        <v>0.80640000000000001</v>
      </c>
    </row>
    <row r="256" spans="1:12" x14ac:dyDescent="0.25">
      <c r="A256" s="8" t="s">
        <v>734</v>
      </c>
      <c r="B256" s="9">
        <v>46009</v>
      </c>
      <c r="C256" s="8" t="s">
        <v>735</v>
      </c>
      <c r="D256" s="8" t="s">
        <v>32</v>
      </c>
      <c r="E256" s="8" t="s">
        <v>58</v>
      </c>
      <c r="F256" s="8" t="s">
        <v>34</v>
      </c>
      <c r="G256" s="8" t="s">
        <v>59</v>
      </c>
      <c r="H256" s="8" t="s">
        <v>736</v>
      </c>
      <c r="I256" s="8">
        <v>254.05799999999999</v>
      </c>
      <c r="J256" s="8">
        <v>7</v>
      </c>
      <c r="K256" s="8">
        <v>0.7</v>
      </c>
      <c r="L256" s="8">
        <v>-169.37200000000001</v>
      </c>
    </row>
    <row r="257" spans="1:12" x14ac:dyDescent="0.25">
      <c r="A257" s="8" t="s">
        <v>737</v>
      </c>
      <c r="B257" s="9">
        <v>45979</v>
      </c>
      <c r="C257" s="8" t="s">
        <v>738</v>
      </c>
      <c r="D257" s="8" t="s">
        <v>32</v>
      </c>
      <c r="E257" s="8" t="s">
        <v>33</v>
      </c>
      <c r="F257" s="8" t="s">
        <v>34</v>
      </c>
      <c r="G257" s="8" t="s">
        <v>54</v>
      </c>
      <c r="H257" s="8" t="s">
        <v>739</v>
      </c>
      <c r="I257" s="8">
        <v>103.968</v>
      </c>
      <c r="J257" s="8">
        <v>6</v>
      </c>
      <c r="K257" s="8">
        <v>0.2</v>
      </c>
      <c r="L257" s="8">
        <v>16.8948</v>
      </c>
    </row>
    <row r="258" spans="1:12" x14ac:dyDescent="0.25">
      <c r="A258" s="8" t="s">
        <v>740</v>
      </c>
      <c r="B258" s="9">
        <v>45637</v>
      </c>
      <c r="C258" s="8" t="s">
        <v>682</v>
      </c>
      <c r="D258" s="8" t="s">
        <v>39</v>
      </c>
      <c r="E258" s="8" t="s">
        <v>40</v>
      </c>
      <c r="F258" s="8" t="s">
        <v>41</v>
      </c>
      <c r="G258" s="8" t="s">
        <v>76</v>
      </c>
      <c r="H258" s="8" t="s">
        <v>418</v>
      </c>
      <c r="I258" s="8">
        <v>175.23</v>
      </c>
      <c r="J258" s="8">
        <v>11</v>
      </c>
      <c r="K258" s="8">
        <v>0</v>
      </c>
      <c r="L258" s="8">
        <v>61.330500000000001</v>
      </c>
    </row>
    <row r="259" spans="1:12" x14ac:dyDescent="0.25">
      <c r="A259" s="8" t="s">
        <v>741</v>
      </c>
      <c r="B259" s="9">
        <v>45603</v>
      </c>
      <c r="C259" s="8" t="s">
        <v>233</v>
      </c>
      <c r="D259" s="8" t="s">
        <v>39</v>
      </c>
      <c r="E259" s="8" t="s">
        <v>33</v>
      </c>
      <c r="F259" s="8" t="s">
        <v>63</v>
      </c>
      <c r="G259" s="8" t="s">
        <v>64</v>
      </c>
      <c r="H259" s="8" t="s">
        <v>742</v>
      </c>
      <c r="I259" s="8">
        <v>715.2</v>
      </c>
      <c r="J259" s="8">
        <v>3</v>
      </c>
      <c r="K259" s="8">
        <v>0</v>
      </c>
      <c r="L259" s="8">
        <v>178.8</v>
      </c>
    </row>
    <row r="260" spans="1:12" x14ac:dyDescent="0.25">
      <c r="A260" s="8" t="s">
        <v>743</v>
      </c>
      <c r="B260" s="9">
        <v>45805</v>
      </c>
      <c r="C260" s="8" t="s">
        <v>575</v>
      </c>
      <c r="D260" s="8" t="s">
        <v>32</v>
      </c>
      <c r="E260" s="8" t="s">
        <v>33</v>
      </c>
      <c r="F260" s="8" t="s">
        <v>34</v>
      </c>
      <c r="G260" s="8" t="s">
        <v>68</v>
      </c>
      <c r="H260" s="8" t="s">
        <v>744</v>
      </c>
      <c r="I260" s="8">
        <v>54.9</v>
      </c>
      <c r="J260" s="8">
        <v>5</v>
      </c>
      <c r="K260" s="8">
        <v>0</v>
      </c>
      <c r="L260" s="8">
        <v>15.372</v>
      </c>
    </row>
    <row r="261" spans="1:12" x14ac:dyDescent="0.25">
      <c r="A261" s="8" t="s">
        <v>745</v>
      </c>
      <c r="B261" s="9">
        <v>46357</v>
      </c>
      <c r="C261" s="8" t="s">
        <v>636</v>
      </c>
      <c r="D261" s="8" t="s">
        <v>39</v>
      </c>
      <c r="E261" s="8" t="s">
        <v>40</v>
      </c>
      <c r="F261" s="8" t="s">
        <v>34</v>
      </c>
      <c r="G261" s="8" t="s">
        <v>47</v>
      </c>
      <c r="H261" s="8" t="s">
        <v>746</v>
      </c>
      <c r="I261" s="8">
        <v>83.92</v>
      </c>
      <c r="J261" s="8">
        <v>4</v>
      </c>
      <c r="K261" s="8">
        <v>0</v>
      </c>
      <c r="L261" s="8">
        <v>5.8743999999999899</v>
      </c>
    </row>
    <row r="262" spans="1:12" x14ac:dyDescent="0.25">
      <c r="A262" s="8" t="s">
        <v>747</v>
      </c>
      <c r="B262" s="9">
        <v>45924</v>
      </c>
      <c r="C262" s="8" t="s">
        <v>748</v>
      </c>
      <c r="D262" s="8" t="s">
        <v>39</v>
      </c>
      <c r="E262" s="8" t="s">
        <v>40</v>
      </c>
      <c r="F262" s="8" t="s">
        <v>63</v>
      </c>
      <c r="G262" s="8" t="s">
        <v>86</v>
      </c>
      <c r="H262" s="8" t="s">
        <v>749</v>
      </c>
      <c r="I262" s="8">
        <v>127.95</v>
      </c>
      <c r="J262" s="8">
        <v>3</v>
      </c>
      <c r="K262" s="8">
        <v>0</v>
      </c>
      <c r="L262" s="8">
        <v>21.7515</v>
      </c>
    </row>
    <row r="263" spans="1:12" x14ac:dyDescent="0.25">
      <c r="A263" s="8" t="s">
        <v>750</v>
      </c>
      <c r="B263" s="9">
        <v>45577</v>
      </c>
      <c r="C263" s="8" t="s">
        <v>751</v>
      </c>
      <c r="D263" s="8" t="s">
        <v>39</v>
      </c>
      <c r="E263" s="8" t="s">
        <v>75</v>
      </c>
      <c r="F263" s="8" t="s">
        <v>34</v>
      </c>
      <c r="G263" s="8" t="s">
        <v>47</v>
      </c>
      <c r="H263" s="8" t="s">
        <v>752</v>
      </c>
      <c r="I263" s="8">
        <v>81.96</v>
      </c>
      <c r="J263" s="8">
        <v>2</v>
      </c>
      <c r="K263" s="8">
        <v>0</v>
      </c>
      <c r="L263" s="8">
        <v>0</v>
      </c>
    </row>
    <row r="264" spans="1:12" x14ac:dyDescent="0.25">
      <c r="A264" s="8" t="s">
        <v>753</v>
      </c>
      <c r="B264" s="9">
        <v>44942</v>
      </c>
      <c r="C264" s="8" t="s">
        <v>754</v>
      </c>
      <c r="D264" s="8" t="s">
        <v>39</v>
      </c>
      <c r="E264" s="8" t="s">
        <v>33</v>
      </c>
      <c r="F264" s="8" t="s">
        <v>34</v>
      </c>
      <c r="G264" s="8" t="s">
        <v>102</v>
      </c>
      <c r="H264" s="8" t="s">
        <v>755</v>
      </c>
      <c r="I264" s="8">
        <v>30.071999999999999</v>
      </c>
      <c r="J264" s="8">
        <v>3</v>
      </c>
      <c r="K264" s="8">
        <v>0.2</v>
      </c>
      <c r="L264" s="8">
        <v>10.1493</v>
      </c>
    </row>
    <row r="265" spans="1:12" x14ac:dyDescent="0.25">
      <c r="A265" s="8" t="s">
        <v>756</v>
      </c>
      <c r="B265" s="9">
        <v>45623</v>
      </c>
      <c r="C265" s="8" t="s">
        <v>757</v>
      </c>
      <c r="D265" s="8" t="s">
        <v>46</v>
      </c>
      <c r="E265" s="8" t="s">
        <v>75</v>
      </c>
      <c r="F265" s="8" t="s">
        <v>41</v>
      </c>
      <c r="G265" s="8" t="s">
        <v>76</v>
      </c>
      <c r="H265" s="8" t="s">
        <v>758</v>
      </c>
      <c r="I265" s="8">
        <v>107.97</v>
      </c>
      <c r="J265" s="8">
        <v>3</v>
      </c>
      <c r="K265" s="8">
        <v>0</v>
      </c>
      <c r="L265" s="8">
        <v>22.6737</v>
      </c>
    </row>
    <row r="266" spans="1:12" x14ac:dyDescent="0.25">
      <c r="A266" s="8" t="s">
        <v>759</v>
      </c>
      <c r="B266" s="9">
        <v>45691</v>
      </c>
      <c r="C266" s="8" t="s">
        <v>189</v>
      </c>
      <c r="D266" s="8" t="s">
        <v>39</v>
      </c>
      <c r="E266" s="8" t="s">
        <v>58</v>
      </c>
      <c r="F266" s="8" t="s">
        <v>63</v>
      </c>
      <c r="G266" s="8" t="s">
        <v>64</v>
      </c>
      <c r="H266" s="8" t="s">
        <v>168</v>
      </c>
      <c r="I266" s="8">
        <v>866.4</v>
      </c>
      <c r="J266" s="8">
        <v>4</v>
      </c>
      <c r="K266" s="8">
        <v>0</v>
      </c>
      <c r="L266" s="8">
        <v>225.26400000000001</v>
      </c>
    </row>
    <row r="267" spans="1:12" x14ac:dyDescent="0.25">
      <c r="A267" s="8" t="s">
        <v>760</v>
      </c>
      <c r="B267" s="9">
        <v>45261</v>
      </c>
      <c r="C267" s="8" t="s">
        <v>50</v>
      </c>
      <c r="D267" s="8" t="s">
        <v>39</v>
      </c>
      <c r="E267" s="8" t="s">
        <v>33</v>
      </c>
      <c r="F267" s="8" t="s">
        <v>63</v>
      </c>
      <c r="G267" s="8" t="s">
        <v>86</v>
      </c>
      <c r="H267" s="8" t="s">
        <v>761</v>
      </c>
      <c r="I267" s="8">
        <v>8.1280000000000001</v>
      </c>
      <c r="J267" s="8">
        <v>2</v>
      </c>
      <c r="K267" s="8">
        <v>0.2</v>
      </c>
      <c r="L267" s="8">
        <v>1.4224000000000001</v>
      </c>
    </row>
    <row r="268" spans="1:12" x14ac:dyDescent="0.25">
      <c r="A268" s="8" t="s">
        <v>478</v>
      </c>
      <c r="B268" s="9">
        <v>45828</v>
      </c>
      <c r="C268" s="8" t="s">
        <v>479</v>
      </c>
      <c r="D268" s="8" t="s">
        <v>39</v>
      </c>
      <c r="E268" s="8" t="s">
        <v>75</v>
      </c>
      <c r="F268" s="8" t="s">
        <v>34</v>
      </c>
      <c r="G268" s="8" t="s">
        <v>54</v>
      </c>
      <c r="H268" s="8" t="s">
        <v>481</v>
      </c>
      <c r="I268" s="8">
        <v>21.78</v>
      </c>
      <c r="J268" s="8">
        <v>2</v>
      </c>
      <c r="K268" s="8">
        <v>0</v>
      </c>
      <c r="L268" s="8">
        <v>5.6627999999999998</v>
      </c>
    </row>
    <row r="269" spans="1:12" x14ac:dyDescent="0.25">
      <c r="A269" s="8" t="s">
        <v>762</v>
      </c>
      <c r="B269" s="9">
        <v>45217</v>
      </c>
      <c r="C269" s="8" t="s">
        <v>763</v>
      </c>
      <c r="D269" s="8" t="s">
        <v>39</v>
      </c>
      <c r="E269" s="8" t="s">
        <v>75</v>
      </c>
      <c r="F269" s="8" t="s">
        <v>34</v>
      </c>
      <c r="G269" s="8" t="s">
        <v>59</v>
      </c>
      <c r="H269" s="8" t="s">
        <v>764</v>
      </c>
      <c r="I269" s="8">
        <v>1.3440000000000001</v>
      </c>
      <c r="J269" s="8">
        <v>1</v>
      </c>
      <c r="K269" s="8">
        <v>0.2</v>
      </c>
      <c r="L269" s="8">
        <v>0.47039999999999998</v>
      </c>
    </row>
    <row r="270" spans="1:12" x14ac:dyDescent="0.25">
      <c r="A270" s="8" t="s">
        <v>765</v>
      </c>
      <c r="B270" s="9">
        <v>46344</v>
      </c>
      <c r="C270" s="8" t="s">
        <v>766</v>
      </c>
      <c r="D270" s="8" t="s">
        <v>39</v>
      </c>
      <c r="E270" s="8" t="s">
        <v>75</v>
      </c>
      <c r="F270" s="8" t="s">
        <v>34</v>
      </c>
      <c r="G270" s="8" t="s">
        <v>59</v>
      </c>
      <c r="H270" s="8" t="s">
        <v>767</v>
      </c>
      <c r="I270" s="8">
        <v>8.4480000000000004</v>
      </c>
      <c r="J270" s="8">
        <v>2</v>
      </c>
      <c r="K270" s="8">
        <v>0.2</v>
      </c>
      <c r="L270" s="8">
        <v>2.9567999999999999</v>
      </c>
    </row>
    <row r="271" spans="1:12" x14ac:dyDescent="0.25">
      <c r="A271" s="8" t="s">
        <v>768</v>
      </c>
      <c r="B271" s="9">
        <v>45735</v>
      </c>
      <c r="C271" s="8" t="s">
        <v>769</v>
      </c>
      <c r="D271" s="8" t="s">
        <v>32</v>
      </c>
      <c r="E271" s="8" t="s">
        <v>58</v>
      </c>
      <c r="F271" s="8" t="s">
        <v>34</v>
      </c>
      <c r="G271" s="8" t="s">
        <v>59</v>
      </c>
      <c r="H271" s="8" t="s">
        <v>770</v>
      </c>
      <c r="I271" s="8">
        <v>31.085999999999999</v>
      </c>
      <c r="J271" s="8">
        <v>3</v>
      </c>
      <c r="K271" s="8">
        <v>0.7</v>
      </c>
      <c r="L271" s="8">
        <v>-20.724</v>
      </c>
    </row>
    <row r="272" spans="1:12" x14ac:dyDescent="0.25">
      <c r="A272" s="8" t="s">
        <v>771</v>
      </c>
      <c r="B272" s="9">
        <v>46009</v>
      </c>
      <c r="C272" s="8" t="s">
        <v>772</v>
      </c>
      <c r="D272" s="8" t="s">
        <v>32</v>
      </c>
      <c r="E272" s="8" t="s">
        <v>75</v>
      </c>
      <c r="F272" s="8" t="s">
        <v>41</v>
      </c>
      <c r="G272" s="8" t="s">
        <v>42</v>
      </c>
      <c r="H272" s="8" t="s">
        <v>773</v>
      </c>
      <c r="I272" s="8">
        <v>66.975999999999999</v>
      </c>
      <c r="J272" s="8">
        <v>7</v>
      </c>
      <c r="K272" s="8">
        <v>0.2</v>
      </c>
      <c r="L272" s="8">
        <v>6.6976000000000004</v>
      </c>
    </row>
    <row r="273" spans="1:12" x14ac:dyDescent="0.25">
      <c r="A273" s="8" t="s">
        <v>774</v>
      </c>
      <c r="B273" s="9">
        <v>45632</v>
      </c>
      <c r="C273" s="8" t="s">
        <v>775</v>
      </c>
      <c r="D273" s="8" t="s">
        <v>39</v>
      </c>
      <c r="E273" s="8" t="s">
        <v>75</v>
      </c>
      <c r="F273" s="8" t="s">
        <v>34</v>
      </c>
      <c r="G273" s="8" t="s">
        <v>35</v>
      </c>
      <c r="H273" s="8" t="s">
        <v>776</v>
      </c>
      <c r="I273" s="8">
        <v>6.48</v>
      </c>
      <c r="J273" s="8">
        <v>1</v>
      </c>
      <c r="K273" s="8">
        <v>0</v>
      </c>
      <c r="L273" s="8">
        <v>3.1103999999999998</v>
      </c>
    </row>
    <row r="274" spans="1:12" x14ac:dyDescent="0.25">
      <c r="A274" s="8" t="s">
        <v>777</v>
      </c>
      <c r="B274" s="9">
        <v>45034</v>
      </c>
      <c r="C274" s="8" t="s">
        <v>105</v>
      </c>
      <c r="D274" s="8" t="s">
        <v>39</v>
      </c>
      <c r="E274" s="8" t="s">
        <v>75</v>
      </c>
      <c r="F274" s="8" t="s">
        <v>41</v>
      </c>
      <c r="G274" s="8" t="s">
        <v>367</v>
      </c>
      <c r="H274" s="8" t="s">
        <v>778</v>
      </c>
      <c r="I274" s="8">
        <v>287.96800000000002</v>
      </c>
      <c r="J274" s="8">
        <v>4</v>
      </c>
      <c r="K274" s="8">
        <v>0.2</v>
      </c>
      <c r="L274" s="8">
        <v>97.1892</v>
      </c>
    </row>
    <row r="275" spans="1:12" x14ac:dyDescent="0.25">
      <c r="A275" s="8" t="s">
        <v>779</v>
      </c>
      <c r="B275" s="9">
        <v>46289</v>
      </c>
      <c r="C275" s="8" t="s">
        <v>680</v>
      </c>
      <c r="D275" s="8" t="s">
        <v>46</v>
      </c>
      <c r="E275" s="8" t="s">
        <v>75</v>
      </c>
      <c r="F275" s="8" t="s">
        <v>34</v>
      </c>
      <c r="G275" s="8" t="s">
        <v>68</v>
      </c>
      <c r="H275" s="8" t="s">
        <v>510</v>
      </c>
      <c r="I275" s="8">
        <v>7.3</v>
      </c>
      <c r="J275" s="8">
        <v>2</v>
      </c>
      <c r="K275" s="8">
        <v>0</v>
      </c>
      <c r="L275" s="8">
        <v>2.19</v>
      </c>
    </row>
    <row r="276" spans="1:12" x14ac:dyDescent="0.25">
      <c r="A276" s="8" t="s">
        <v>780</v>
      </c>
      <c r="B276" s="9">
        <v>45560</v>
      </c>
      <c r="C276" s="8" t="s">
        <v>593</v>
      </c>
      <c r="D276" s="8" t="s">
        <v>39</v>
      </c>
      <c r="E276" s="8" t="s">
        <v>33</v>
      </c>
      <c r="F276" s="8" t="s">
        <v>34</v>
      </c>
      <c r="G276" s="8" t="s">
        <v>35</v>
      </c>
      <c r="H276" s="8" t="s">
        <v>781</v>
      </c>
      <c r="I276" s="8">
        <v>45.68</v>
      </c>
      <c r="J276" s="8">
        <v>2</v>
      </c>
      <c r="K276" s="8">
        <v>0</v>
      </c>
      <c r="L276" s="8">
        <v>21.012799999999999</v>
      </c>
    </row>
    <row r="277" spans="1:12" x14ac:dyDescent="0.25">
      <c r="A277" s="8" t="s">
        <v>782</v>
      </c>
      <c r="B277" s="9">
        <v>46043</v>
      </c>
      <c r="C277" s="8" t="s">
        <v>207</v>
      </c>
      <c r="D277" s="8" t="s">
        <v>32</v>
      </c>
      <c r="E277" s="8" t="s">
        <v>33</v>
      </c>
      <c r="F277" s="8" t="s">
        <v>63</v>
      </c>
      <c r="G277" s="8" t="s">
        <v>86</v>
      </c>
      <c r="H277" s="8" t="s">
        <v>783</v>
      </c>
      <c r="I277" s="8">
        <v>31.4</v>
      </c>
      <c r="J277" s="8">
        <v>5</v>
      </c>
      <c r="K277" s="8">
        <v>0</v>
      </c>
      <c r="L277" s="8">
        <v>13.19</v>
      </c>
    </row>
    <row r="278" spans="1:12" x14ac:dyDescent="0.25">
      <c r="A278" s="8" t="s">
        <v>268</v>
      </c>
      <c r="B278" s="9">
        <v>45925</v>
      </c>
      <c r="C278" s="8" t="s">
        <v>269</v>
      </c>
      <c r="D278" s="8" t="s">
        <v>39</v>
      </c>
      <c r="E278" s="8" t="s">
        <v>33</v>
      </c>
      <c r="F278" s="8" t="s">
        <v>34</v>
      </c>
      <c r="G278" s="8" t="s">
        <v>54</v>
      </c>
      <c r="H278" s="8" t="s">
        <v>784</v>
      </c>
      <c r="I278" s="8">
        <v>286.25599999999997</v>
      </c>
      <c r="J278" s="8">
        <v>1</v>
      </c>
      <c r="K278" s="8">
        <v>0.2</v>
      </c>
      <c r="L278" s="8">
        <v>17.890999999999998</v>
      </c>
    </row>
    <row r="279" spans="1:12" x14ac:dyDescent="0.25">
      <c r="A279" s="8" t="s">
        <v>785</v>
      </c>
      <c r="B279" s="9">
        <v>45506</v>
      </c>
      <c r="C279" s="8" t="s">
        <v>786</v>
      </c>
      <c r="D279" s="8" t="s">
        <v>46</v>
      </c>
      <c r="E279" s="8" t="s">
        <v>33</v>
      </c>
      <c r="F279" s="8" t="s">
        <v>41</v>
      </c>
      <c r="G279" s="8" t="s">
        <v>42</v>
      </c>
      <c r="H279" s="8" t="s">
        <v>591</v>
      </c>
      <c r="I279" s="8">
        <v>128.85</v>
      </c>
      <c r="J279" s="8">
        <v>3</v>
      </c>
      <c r="K279" s="8">
        <v>0</v>
      </c>
      <c r="L279" s="8">
        <v>3.8654999999999999</v>
      </c>
    </row>
    <row r="280" spans="1:12" x14ac:dyDescent="0.25">
      <c r="A280" s="8" t="s">
        <v>787</v>
      </c>
      <c r="B280" s="9">
        <v>46195</v>
      </c>
      <c r="C280" s="8" t="s">
        <v>788</v>
      </c>
      <c r="D280" s="8" t="s">
        <v>46</v>
      </c>
      <c r="E280" s="8" t="s">
        <v>33</v>
      </c>
      <c r="F280" s="8" t="s">
        <v>34</v>
      </c>
      <c r="G280" s="8" t="s">
        <v>47</v>
      </c>
      <c r="H280" s="8" t="s">
        <v>789</v>
      </c>
      <c r="I280" s="8">
        <v>8.9280000000000008</v>
      </c>
      <c r="J280" s="8">
        <v>2</v>
      </c>
      <c r="K280" s="8">
        <v>0.2</v>
      </c>
      <c r="L280" s="8">
        <v>0.66959999999999997</v>
      </c>
    </row>
    <row r="281" spans="1:12" x14ac:dyDescent="0.25">
      <c r="A281" s="8" t="s">
        <v>790</v>
      </c>
      <c r="B281" s="9">
        <v>45374</v>
      </c>
      <c r="C281" s="8" t="s">
        <v>791</v>
      </c>
      <c r="D281" s="8" t="s">
        <v>32</v>
      </c>
      <c r="E281" s="8" t="s">
        <v>75</v>
      </c>
      <c r="F281" s="8" t="s">
        <v>41</v>
      </c>
      <c r="G281" s="8" t="s">
        <v>76</v>
      </c>
      <c r="H281" s="8" t="s">
        <v>792</v>
      </c>
      <c r="I281" s="8">
        <v>239.97</v>
      </c>
      <c r="J281" s="8">
        <v>3</v>
      </c>
      <c r="K281" s="8">
        <v>0</v>
      </c>
      <c r="L281" s="8">
        <v>86.389200000000002</v>
      </c>
    </row>
    <row r="282" spans="1:12" x14ac:dyDescent="0.25">
      <c r="A282" s="8" t="s">
        <v>793</v>
      </c>
      <c r="B282" s="9">
        <v>46284</v>
      </c>
      <c r="C282" s="8" t="s">
        <v>794</v>
      </c>
      <c r="D282" s="8" t="s">
        <v>32</v>
      </c>
      <c r="E282" s="8" t="s">
        <v>75</v>
      </c>
      <c r="F282" s="8" t="s">
        <v>63</v>
      </c>
      <c r="G282" s="8" t="s">
        <v>325</v>
      </c>
      <c r="H282" s="8" t="s">
        <v>795</v>
      </c>
      <c r="I282" s="8">
        <v>72.587999999999994</v>
      </c>
      <c r="J282" s="8">
        <v>2</v>
      </c>
      <c r="K282" s="8">
        <v>0.7</v>
      </c>
      <c r="L282" s="8">
        <v>-128.2388</v>
      </c>
    </row>
    <row r="283" spans="1:12" x14ac:dyDescent="0.25">
      <c r="A283" s="8" t="s">
        <v>796</v>
      </c>
      <c r="B283" s="9">
        <v>45161</v>
      </c>
      <c r="C283" s="8" t="s">
        <v>797</v>
      </c>
      <c r="D283" s="8" t="s">
        <v>39</v>
      </c>
      <c r="E283" s="8" t="s">
        <v>75</v>
      </c>
      <c r="F283" s="8" t="s">
        <v>34</v>
      </c>
      <c r="G283" s="8" t="s">
        <v>35</v>
      </c>
      <c r="H283" s="8" t="s">
        <v>798</v>
      </c>
      <c r="I283" s="8">
        <v>15.552</v>
      </c>
      <c r="J283" s="8">
        <v>3</v>
      </c>
      <c r="K283" s="8">
        <v>0.2</v>
      </c>
      <c r="L283" s="8">
        <v>5.4432</v>
      </c>
    </row>
    <row r="284" spans="1:12" x14ac:dyDescent="0.25">
      <c r="A284" s="8" t="s">
        <v>799</v>
      </c>
      <c r="B284" s="9">
        <v>46024</v>
      </c>
      <c r="C284" s="8" t="s">
        <v>800</v>
      </c>
      <c r="D284" s="8" t="s">
        <v>39</v>
      </c>
      <c r="E284" s="8" t="s">
        <v>40</v>
      </c>
      <c r="F284" s="8" t="s">
        <v>34</v>
      </c>
      <c r="G284" s="8" t="s">
        <v>54</v>
      </c>
      <c r="H284" s="8" t="s">
        <v>801</v>
      </c>
      <c r="I284" s="8">
        <v>5.4320000000000004</v>
      </c>
      <c r="J284" s="8">
        <v>2</v>
      </c>
      <c r="K284" s="8">
        <v>0.8</v>
      </c>
      <c r="L284" s="8">
        <v>-13.58</v>
      </c>
    </row>
    <row r="285" spans="1:12" x14ac:dyDescent="0.25">
      <c r="A285" s="8" t="s">
        <v>802</v>
      </c>
      <c r="B285" s="9">
        <v>46169</v>
      </c>
      <c r="C285" s="8" t="s">
        <v>803</v>
      </c>
      <c r="D285" s="8" t="s">
        <v>39</v>
      </c>
      <c r="E285" s="8" t="s">
        <v>75</v>
      </c>
      <c r="F285" s="8" t="s">
        <v>41</v>
      </c>
      <c r="G285" s="8" t="s">
        <v>42</v>
      </c>
      <c r="H285" s="8" t="s">
        <v>804</v>
      </c>
      <c r="I285" s="8">
        <v>302.37599999999998</v>
      </c>
      <c r="J285" s="8">
        <v>3</v>
      </c>
      <c r="K285" s="8">
        <v>0.2</v>
      </c>
      <c r="L285" s="8">
        <v>22.6782</v>
      </c>
    </row>
    <row r="286" spans="1:12" x14ac:dyDescent="0.25">
      <c r="A286" s="8" t="s">
        <v>805</v>
      </c>
      <c r="B286" s="9">
        <v>45249</v>
      </c>
      <c r="C286" s="8" t="s">
        <v>806</v>
      </c>
      <c r="D286" s="8" t="s">
        <v>46</v>
      </c>
      <c r="E286" s="8" t="s">
        <v>75</v>
      </c>
      <c r="F286" s="8" t="s">
        <v>34</v>
      </c>
      <c r="G286" s="8" t="s">
        <v>35</v>
      </c>
      <c r="H286" s="8" t="s">
        <v>807</v>
      </c>
      <c r="I286" s="8">
        <v>166.44</v>
      </c>
      <c r="J286" s="8">
        <v>3</v>
      </c>
      <c r="K286" s="8">
        <v>0</v>
      </c>
      <c r="L286" s="8">
        <v>79.891199999999998</v>
      </c>
    </row>
    <row r="287" spans="1:12" x14ac:dyDescent="0.25">
      <c r="A287" s="8" t="s">
        <v>808</v>
      </c>
      <c r="B287" s="9">
        <v>45929</v>
      </c>
      <c r="C287" s="8" t="s">
        <v>809</v>
      </c>
      <c r="D287" s="8" t="s">
        <v>32</v>
      </c>
      <c r="E287" s="8" t="s">
        <v>75</v>
      </c>
      <c r="F287" s="8" t="s">
        <v>34</v>
      </c>
      <c r="G287" s="8" t="s">
        <v>174</v>
      </c>
      <c r="H287" s="8" t="s">
        <v>810</v>
      </c>
      <c r="I287" s="8">
        <v>10.496</v>
      </c>
      <c r="J287" s="8">
        <v>4</v>
      </c>
      <c r="K287" s="8">
        <v>0.2</v>
      </c>
      <c r="L287" s="8">
        <v>1.1808000000000001</v>
      </c>
    </row>
    <row r="288" spans="1:12" x14ac:dyDescent="0.25">
      <c r="A288" s="8" t="s">
        <v>811</v>
      </c>
      <c r="B288" s="9">
        <v>45042</v>
      </c>
      <c r="C288" s="8" t="s">
        <v>140</v>
      </c>
      <c r="D288" s="8" t="s">
        <v>46</v>
      </c>
      <c r="E288" s="8" t="s">
        <v>75</v>
      </c>
      <c r="F288" s="8" t="s">
        <v>34</v>
      </c>
      <c r="G288" s="8" t="s">
        <v>174</v>
      </c>
      <c r="H288" s="8" t="s">
        <v>812</v>
      </c>
      <c r="I288" s="8">
        <v>21.4</v>
      </c>
      <c r="J288" s="8">
        <v>5</v>
      </c>
      <c r="K288" s="8">
        <v>0</v>
      </c>
      <c r="L288" s="8">
        <v>6.2060000000000004</v>
      </c>
    </row>
    <row r="289" spans="1:12" x14ac:dyDescent="0.25">
      <c r="A289" s="8" t="s">
        <v>813</v>
      </c>
      <c r="B289" s="9">
        <v>45466</v>
      </c>
      <c r="C289" s="8" t="s">
        <v>814</v>
      </c>
      <c r="D289" s="8" t="s">
        <v>32</v>
      </c>
      <c r="E289" s="8" t="s">
        <v>58</v>
      </c>
      <c r="F289" s="8" t="s">
        <v>34</v>
      </c>
      <c r="G289" s="8" t="s">
        <v>59</v>
      </c>
      <c r="H289" s="8" t="s">
        <v>441</v>
      </c>
      <c r="I289" s="8">
        <v>165.98</v>
      </c>
      <c r="J289" s="8">
        <v>1</v>
      </c>
      <c r="K289" s="8">
        <v>0</v>
      </c>
      <c r="L289" s="8">
        <v>74.691000000000003</v>
      </c>
    </row>
    <row r="290" spans="1:12" x14ac:dyDescent="0.25">
      <c r="A290" s="8" t="s">
        <v>815</v>
      </c>
      <c r="B290" s="9">
        <v>46156</v>
      </c>
      <c r="C290" s="8" t="s">
        <v>449</v>
      </c>
      <c r="D290" s="8" t="s">
        <v>32</v>
      </c>
      <c r="E290" s="8" t="s">
        <v>33</v>
      </c>
      <c r="F290" s="8" t="s">
        <v>63</v>
      </c>
      <c r="G290" s="8" t="s">
        <v>64</v>
      </c>
      <c r="H290" s="8" t="s">
        <v>816</v>
      </c>
      <c r="I290" s="8">
        <v>261.95999999999998</v>
      </c>
      <c r="J290" s="8">
        <v>2</v>
      </c>
      <c r="K290" s="8">
        <v>0</v>
      </c>
      <c r="L290" s="8">
        <v>23.5764</v>
      </c>
    </row>
    <row r="291" spans="1:12" x14ac:dyDescent="0.25">
      <c r="A291" s="8" t="s">
        <v>817</v>
      </c>
      <c r="B291" s="9">
        <v>44932</v>
      </c>
      <c r="C291" s="8" t="s">
        <v>818</v>
      </c>
      <c r="D291" s="8" t="s">
        <v>39</v>
      </c>
      <c r="E291" s="8" t="s">
        <v>75</v>
      </c>
      <c r="F291" s="8" t="s">
        <v>34</v>
      </c>
      <c r="G291" s="8" t="s">
        <v>35</v>
      </c>
      <c r="H291" s="8" t="s">
        <v>675</v>
      </c>
      <c r="I291" s="8">
        <v>19.440000000000001</v>
      </c>
      <c r="J291" s="8">
        <v>3</v>
      </c>
      <c r="K291" s="8">
        <v>0</v>
      </c>
      <c r="L291" s="8">
        <v>9.3312000000000008</v>
      </c>
    </row>
    <row r="292" spans="1:12" x14ac:dyDescent="0.25">
      <c r="A292" s="8" t="s">
        <v>819</v>
      </c>
      <c r="B292" s="9">
        <v>46357</v>
      </c>
      <c r="C292" s="8" t="s">
        <v>820</v>
      </c>
      <c r="D292" s="8" t="s">
        <v>39</v>
      </c>
      <c r="E292" s="8" t="s">
        <v>75</v>
      </c>
      <c r="F292" s="8" t="s">
        <v>34</v>
      </c>
      <c r="G292" s="8" t="s">
        <v>35</v>
      </c>
      <c r="H292" s="8" t="s">
        <v>821</v>
      </c>
      <c r="I292" s="8">
        <v>45.36</v>
      </c>
      <c r="J292" s="8">
        <v>7</v>
      </c>
      <c r="K292" s="8">
        <v>0</v>
      </c>
      <c r="L292" s="8">
        <v>21.7728</v>
      </c>
    </row>
    <row r="293" spans="1:12" x14ac:dyDescent="0.25">
      <c r="A293" s="8" t="s">
        <v>822</v>
      </c>
      <c r="B293" s="9">
        <v>46379</v>
      </c>
      <c r="C293" s="8" t="s">
        <v>823</v>
      </c>
      <c r="D293" s="8" t="s">
        <v>32</v>
      </c>
      <c r="E293" s="8" t="s">
        <v>58</v>
      </c>
      <c r="F293" s="8" t="s">
        <v>34</v>
      </c>
      <c r="G293" s="8" t="s">
        <v>115</v>
      </c>
      <c r="H293" s="8" t="s">
        <v>824</v>
      </c>
      <c r="I293" s="8">
        <v>182.94</v>
      </c>
      <c r="J293" s="8">
        <v>3</v>
      </c>
      <c r="K293" s="8">
        <v>0</v>
      </c>
      <c r="L293" s="8">
        <v>85.981800000000007</v>
      </c>
    </row>
    <row r="294" spans="1:12" x14ac:dyDescent="0.25">
      <c r="A294" s="8" t="s">
        <v>825</v>
      </c>
      <c r="B294" s="9">
        <v>45247</v>
      </c>
      <c r="C294" s="8" t="s">
        <v>826</v>
      </c>
      <c r="D294" s="8" t="s">
        <v>32</v>
      </c>
      <c r="E294" s="8" t="s">
        <v>75</v>
      </c>
      <c r="F294" s="8" t="s">
        <v>34</v>
      </c>
      <c r="G294" s="8" t="s">
        <v>35</v>
      </c>
      <c r="H294" s="8" t="s">
        <v>827</v>
      </c>
      <c r="I294" s="8">
        <v>733.95</v>
      </c>
      <c r="J294" s="8">
        <v>7</v>
      </c>
      <c r="K294" s="8">
        <v>0</v>
      </c>
      <c r="L294" s="8">
        <v>352.29599999999999</v>
      </c>
    </row>
    <row r="295" spans="1:12" x14ac:dyDescent="0.25">
      <c r="A295" s="8" t="s">
        <v>828</v>
      </c>
      <c r="B295" s="9">
        <v>46361</v>
      </c>
      <c r="C295" s="8" t="s">
        <v>829</v>
      </c>
      <c r="D295" s="8" t="s">
        <v>39</v>
      </c>
      <c r="E295" s="8" t="s">
        <v>33</v>
      </c>
      <c r="F295" s="8" t="s">
        <v>63</v>
      </c>
      <c r="G295" s="8" t="s">
        <v>86</v>
      </c>
      <c r="H295" s="8" t="s">
        <v>830</v>
      </c>
      <c r="I295" s="8">
        <v>41.96</v>
      </c>
      <c r="J295" s="8">
        <v>2</v>
      </c>
      <c r="K295" s="8">
        <v>0</v>
      </c>
      <c r="L295" s="8">
        <v>10.909599999999999</v>
      </c>
    </row>
    <row r="296" spans="1:12" x14ac:dyDescent="0.25">
      <c r="A296" s="8" t="s">
        <v>831</v>
      </c>
      <c r="B296" s="9">
        <v>45690</v>
      </c>
      <c r="C296" s="8" t="s">
        <v>832</v>
      </c>
      <c r="D296" s="8" t="s">
        <v>39</v>
      </c>
      <c r="E296" s="8" t="s">
        <v>58</v>
      </c>
      <c r="F296" s="8" t="s">
        <v>41</v>
      </c>
      <c r="G296" s="8" t="s">
        <v>367</v>
      </c>
      <c r="H296" s="8" t="s">
        <v>833</v>
      </c>
      <c r="I296" s="8">
        <v>8749.9500000000007</v>
      </c>
      <c r="J296" s="8">
        <v>5</v>
      </c>
      <c r="K296" s="8">
        <v>0</v>
      </c>
      <c r="L296" s="8">
        <v>2799.9839999999999</v>
      </c>
    </row>
    <row r="297" spans="1:12" x14ac:dyDescent="0.25">
      <c r="A297" s="8" t="s">
        <v>834</v>
      </c>
      <c r="B297" s="9">
        <v>45613</v>
      </c>
      <c r="C297" s="8" t="s">
        <v>835</v>
      </c>
      <c r="D297" s="8" t="s">
        <v>39</v>
      </c>
      <c r="E297" s="8" t="s">
        <v>40</v>
      </c>
      <c r="F297" s="8" t="s">
        <v>34</v>
      </c>
      <c r="G297" s="8" t="s">
        <v>68</v>
      </c>
      <c r="H297" s="8" t="s">
        <v>836</v>
      </c>
      <c r="I297" s="8">
        <v>40.92</v>
      </c>
      <c r="J297" s="8">
        <v>5</v>
      </c>
      <c r="K297" s="8">
        <v>0.2</v>
      </c>
      <c r="L297" s="8">
        <v>3.069</v>
      </c>
    </row>
    <row r="298" spans="1:12" x14ac:dyDescent="0.25">
      <c r="A298" s="8" t="s">
        <v>837</v>
      </c>
      <c r="B298" s="9">
        <v>45286</v>
      </c>
      <c r="C298" s="8" t="s">
        <v>838</v>
      </c>
      <c r="D298" s="8" t="s">
        <v>32</v>
      </c>
      <c r="E298" s="8" t="s">
        <v>75</v>
      </c>
      <c r="F298" s="8" t="s">
        <v>63</v>
      </c>
      <c r="G298" s="8" t="s">
        <v>86</v>
      </c>
      <c r="H298" s="8" t="s">
        <v>839</v>
      </c>
      <c r="I298" s="8">
        <v>218.352</v>
      </c>
      <c r="J298" s="8">
        <v>3</v>
      </c>
      <c r="K298" s="8">
        <v>0.2</v>
      </c>
      <c r="L298" s="8">
        <v>-24.564599999999999</v>
      </c>
    </row>
    <row r="299" spans="1:12" x14ac:dyDescent="0.25">
      <c r="A299" s="8" t="s">
        <v>360</v>
      </c>
      <c r="B299" s="9">
        <v>45857</v>
      </c>
      <c r="C299" s="8" t="s">
        <v>361</v>
      </c>
      <c r="D299" s="8" t="s">
        <v>39</v>
      </c>
      <c r="E299" s="8" t="s">
        <v>58</v>
      </c>
      <c r="F299" s="8" t="s">
        <v>34</v>
      </c>
      <c r="G299" s="8" t="s">
        <v>59</v>
      </c>
      <c r="H299" s="8" t="s">
        <v>415</v>
      </c>
      <c r="I299" s="8">
        <v>8.6</v>
      </c>
      <c r="J299" s="8">
        <v>1</v>
      </c>
      <c r="K299" s="8">
        <v>0</v>
      </c>
      <c r="L299" s="8">
        <v>4.0419999999999998</v>
      </c>
    </row>
    <row r="300" spans="1:12" x14ac:dyDescent="0.25">
      <c r="A300" s="8" t="s">
        <v>840</v>
      </c>
      <c r="B300" s="9">
        <v>45766</v>
      </c>
      <c r="C300" s="8" t="s">
        <v>130</v>
      </c>
      <c r="D300" s="8" t="s">
        <v>46</v>
      </c>
      <c r="E300" s="8" t="s">
        <v>33</v>
      </c>
      <c r="F300" s="8" t="s">
        <v>63</v>
      </c>
      <c r="G300" s="8" t="s">
        <v>355</v>
      </c>
      <c r="H300" s="8" t="s">
        <v>841</v>
      </c>
      <c r="I300" s="8">
        <v>205.17599999999999</v>
      </c>
      <c r="J300" s="8">
        <v>2</v>
      </c>
      <c r="K300" s="8">
        <v>0.4</v>
      </c>
      <c r="L300" s="8">
        <v>-58.133200000000002</v>
      </c>
    </row>
    <row r="301" spans="1:12" x14ac:dyDescent="0.25">
      <c r="A301" s="8" t="s">
        <v>842</v>
      </c>
      <c r="B301" s="9">
        <v>46374</v>
      </c>
      <c r="C301" s="8" t="s">
        <v>843</v>
      </c>
      <c r="D301" s="8" t="s">
        <v>39</v>
      </c>
      <c r="E301" s="8" t="s">
        <v>75</v>
      </c>
      <c r="F301" s="8" t="s">
        <v>41</v>
      </c>
      <c r="G301" s="8" t="s">
        <v>76</v>
      </c>
      <c r="H301" s="8" t="s">
        <v>844</v>
      </c>
      <c r="I301" s="8">
        <v>119.98</v>
      </c>
      <c r="J301" s="8">
        <v>2</v>
      </c>
      <c r="K301" s="8">
        <v>0</v>
      </c>
      <c r="L301" s="8">
        <v>57.590400000000002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showGridLines="0" zoomScaleNormal="100" workbookViewId="0">
      <selection activeCell="H17" sqref="H17"/>
    </sheetView>
  </sheetViews>
  <sheetFormatPr defaultColWidth="8.7109375" defaultRowHeight="15" x14ac:dyDescent="0.25"/>
  <cols>
    <col min="1" max="1" width="22" customWidth="1"/>
    <col min="2" max="2" width="12" customWidth="1"/>
    <col min="3" max="3" width="3" customWidth="1"/>
    <col min="4" max="4" width="18" customWidth="1"/>
    <col min="5" max="5" width="10" customWidth="1"/>
    <col min="6" max="6" width="3" customWidth="1"/>
    <col min="7" max="8" width="14" customWidth="1"/>
  </cols>
  <sheetData>
    <row r="1" spans="1:8" ht="18" x14ac:dyDescent="0.25">
      <c r="A1" s="1" t="s">
        <v>845</v>
      </c>
    </row>
    <row r="2" spans="1:8" x14ac:dyDescent="0.25">
      <c r="A2" s="2"/>
    </row>
    <row r="4" spans="1:8" x14ac:dyDescent="0.25">
      <c r="A4" s="3" t="s">
        <v>846</v>
      </c>
      <c r="B4" s="3" t="s">
        <v>22</v>
      </c>
      <c r="D4" s="3" t="s">
        <v>18</v>
      </c>
      <c r="E4" s="3" t="s">
        <v>847</v>
      </c>
      <c r="G4" s="3" t="s">
        <v>848</v>
      </c>
      <c r="H4" s="3" t="s">
        <v>849</v>
      </c>
    </row>
    <row r="5" spans="1:8" x14ac:dyDescent="0.25">
      <c r="A5" s="7" t="s">
        <v>850</v>
      </c>
      <c r="B5" s="23" t="s">
        <v>75</v>
      </c>
      <c r="D5" s="7" t="s">
        <v>851</v>
      </c>
      <c r="E5" s="7" t="s">
        <v>852</v>
      </c>
      <c r="G5" s="16">
        <v>0</v>
      </c>
      <c r="H5" s="21" t="s">
        <v>853</v>
      </c>
    </row>
    <row r="6" spans="1:8" x14ac:dyDescent="0.25">
      <c r="A6" s="7" t="s">
        <v>643</v>
      </c>
      <c r="B6" s="23" t="s">
        <v>33</v>
      </c>
      <c r="D6" s="7" t="s">
        <v>854</v>
      </c>
      <c r="E6" s="7" t="s">
        <v>852</v>
      </c>
      <c r="G6" s="16">
        <v>0.05</v>
      </c>
      <c r="H6" s="21" t="s">
        <v>855</v>
      </c>
    </row>
    <row r="7" spans="1:8" x14ac:dyDescent="0.25">
      <c r="A7" s="7" t="s">
        <v>856</v>
      </c>
      <c r="B7" s="23" t="s">
        <v>40</v>
      </c>
      <c r="D7" s="7" t="s">
        <v>857</v>
      </c>
      <c r="E7" s="7" t="s">
        <v>852</v>
      </c>
      <c r="G7" s="16">
        <v>0.2</v>
      </c>
      <c r="H7" s="21" t="s">
        <v>858</v>
      </c>
    </row>
    <row r="8" spans="1:8" x14ac:dyDescent="0.25">
      <c r="A8" s="7" t="s">
        <v>859</v>
      </c>
      <c r="B8" s="23" t="s">
        <v>58</v>
      </c>
      <c r="D8" s="7" t="s">
        <v>860</v>
      </c>
      <c r="E8" s="7" t="s">
        <v>852</v>
      </c>
      <c r="G8" s="16">
        <v>0.4</v>
      </c>
      <c r="H8" s="21" t="s">
        <v>861</v>
      </c>
    </row>
    <row r="9" spans="1:8" x14ac:dyDescent="0.25">
      <c r="D9" s="7" t="s">
        <v>862</v>
      </c>
      <c r="E9" s="7" t="s">
        <v>852</v>
      </c>
    </row>
    <row r="10" spans="1:8" x14ac:dyDescent="0.25">
      <c r="D10" s="7" t="s">
        <v>126</v>
      </c>
      <c r="E10" s="7" t="s">
        <v>852</v>
      </c>
      <c r="G10" s="2"/>
    </row>
    <row r="11" spans="1:8" x14ac:dyDescent="0.25">
      <c r="D11" s="7" t="s">
        <v>863</v>
      </c>
      <c r="E11" s="7" t="s">
        <v>852</v>
      </c>
    </row>
    <row r="12" spans="1:8" x14ac:dyDescent="0.25">
      <c r="D12" s="7" t="s">
        <v>864</v>
      </c>
      <c r="E12" s="7" t="s">
        <v>852</v>
      </c>
    </row>
    <row r="13" spans="1:8" x14ac:dyDescent="0.25">
      <c r="D13" s="7" t="s">
        <v>865</v>
      </c>
      <c r="E13" s="7" t="s">
        <v>852</v>
      </c>
    </row>
    <row r="14" spans="1:8" x14ac:dyDescent="0.25">
      <c r="D14" s="7" t="s">
        <v>866</v>
      </c>
      <c r="E14" s="7" t="s">
        <v>852</v>
      </c>
    </row>
    <row r="15" spans="1:8" x14ac:dyDescent="0.25">
      <c r="D15" s="7" t="s">
        <v>867</v>
      </c>
      <c r="E15" s="7" t="s">
        <v>852</v>
      </c>
    </row>
    <row r="16" spans="1:8" x14ac:dyDescent="0.25">
      <c r="D16" s="7" t="s">
        <v>868</v>
      </c>
      <c r="E16" s="7" t="s">
        <v>852</v>
      </c>
    </row>
    <row r="17" spans="4:5" x14ac:dyDescent="0.25">
      <c r="D17" s="7" t="s">
        <v>869</v>
      </c>
      <c r="E17" s="7" t="s">
        <v>852</v>
      </c>
    </row>
    <row r="18" spans="4:5" x14ac:dyDescent="0.25">
      <c r="D18" s="7" t="s">
        <v>811</v>
      </c>
      <c r="E18" s="7" t="s">
        <v>852</v>
      </c>
    </row>
    <row r="19" spans="4:5" x14ac:dyDescent="0.25">
      <c r="D19" s="7" t="s">
        <v>870</v>
      </c>
      <c r="E19" s="7" t="s">
        <v>852</v>
      </c>
    </row>
    <row r="20" spans="4:5" x14ac:dyDescent="0.25">
      <c r="D20" s="7" t="s">
        <v>871</v>
      </c>
      <c r="E20" s="7" t="s">
        <v>852</v>
      </c>
    </row>
    <row r="21" spans="4:5" x14ac:dyDescent="0.25">
      <c r="D21" s="7" t="s">
        <v>872</v>
      </c>
      <c r="E21" s="7" t="s">
        <v>852</v>
      </c>
    </row>
    <row r="22" spans="4:5" x14ac:dyDescent="0.25">
      <c r="D22" s="7" t="s">
        <v>873</v>
      </c>
      <c r="E22" s="7" t="s">
        <v>852</v>
      </c>
    </row>
    <row r="23" spans="4:5" x14ac:dyDescent="0.25">
      <c r="D23" s="7" t="s">
        <v>874</v>
      </c>
      <c r="E23" s="7" t="s">
        <v>852</v>
      </c>
    </row>
    <row r="24" spans="4:5" x14ac:dyDescent="0.25">
      <c r="D24" s="7" t="s">
        <v>875</v>
      </c>
      <c r="E24" s="7" t="s">
        <v>852</v>
      </c>
    </row>
    <row r="25" spans="4:5" x14ac:dyDescent="0.25">
      <c r="D25" s="7" t="s">
        <v>876</v>
      </c>
      <c r="E25" s="7" t="s">
        <v>852</v>
      </c>
    </row>
    <row r="26" spans="4:5" x14ac:dyDescent="0.25">
      <c r="D26" s="7" t="s">
        <v>877</v>
      </c>
      <c r="E26" s="7" t="s">
        <v>852</v>
      </c>
    </row>
    <row r="27" spans="4:5" x14ac:dyDescent="0.25">
      <c r="D27" s="7" t="s">
        <v>878</v>
      </c>
      <c r="E27" s="7" t="s">
        <v>852</v>
      </c>
    </row>
    <row r="28" spans="4:5" x14ac:dyDescent="0.25">
      <c r="D28" s="7" t="s">
        <v>879</v>
      </c>
      <c r="E28" s="7" t="s">
        <v>852</v>
      </c>
    </row>
    <row r="29" spans="4:5" x14ac:dyDescent="0.25">
      <c r="D29" s="7" t="s">
        <v>880</v>
      </c>
      <c r="E29" s="7" t="s">
        <v>852</v>
      </c>
    </row>
    <row r="30" spans="4:5" x14ac:dyDescent="0.25">
      <c r="D30" s="7" t="s">
        <v>881</v>
      </c>
      <c r="E30" s="7" t="s">
        <v>852</v>
      </c>
    </row>
    <row r="31" spans="4:5" x14ac:dyDescent="0.25">
      <c r="D31" s="7" t="s">
        <v>882</v>
      </c>
      <c r="E31" s="7" t="s">
        <v>852</v>
      </c>
    </row>
    <row r="32" spans="4:5" x14ac:dyDescent="0.25">
      <c r="D32" s="7" t="s">
        <v>883</v>
      </c>
      <c r="E32" s="7" t="s">
        <v>852</v>
      </c>
    </row>
    <row r="33" spans="4:5" x14ac:dyDescent="0.25">
      <c r="D33" s="7" t="s">
        <v>884</v>
      </c>
      <c r="E33" s="7" t="s">
        <v>852</v>
      </c>
    </row>
    <row r="34" spans="4:5" x14ac:dyDescent="0.25">
      <c r="D34" s="7" t="s">
        <v>334</v>
      </c>
      <c r="E34" s="7" t="s">
        <v>852</v>
      </c>
    </row>
    <row r="35" spans="4:5" x14ac:dyDescent="0.25">
      <c r="D35" s="7" t="s">
        <v>885</v>
      </c>
      <c r="E35" s="7" t="s">
        <v>852</v>
      </c>
    </row>
    <row r="36" spans="4:5" x14ac:dyDescent="0.25">
      <c r="D36" s="7" t="s">
        <v>886</v>
      </c>
      <c r="E36" s="7" t="s">
        <v>852</v>
      </c>
    </row>
    <row r="37" spans="4:5" x14ac:dyDescent="0.25">
      <c r="D37" s="7" t="s">
        <v>887</v>
      </c>
      <c r="E37" s="7" t="s">
        <v>852</v>
      </c>
    </row>
    <row r="38" spans="4:5" x14ac:dyDescent="0.25">
      <c r="D38" s="7" t="s">
        <v>888</v>
      </c>
      <c r="E38" s="7" t="s">
        <v>852</v>
      </c>
    </row>
    <row r="39" spans="4:5" x14ac:dyDescent="0.25">
      <c r="D39" s="7" t="s">
        <v>889</v>
      </c>
      <c r="E39" s="7" t="s">
        <v>852</v>
      </c>
    </row>
    <row r="40" spans="4:5" x14ac:dyDescent="0.25">
      <c r="D40" s="7" t="s">
        <v>890</v>
      </c>
      <c r="E40" s="7" t="s">
        <v>852</v>
      </c>
    </row>
    <row r="41" spans="4:5" x14ac:dyDescent="0.25">
      <c r="D41" s="7" t="s">
        <v>891</v>
      </c>
      <c r="E41" s="7" t="s">
        <v>852</v>
      </c>
    </row>
    <row r="42" spans="4:5" x14ac:dyDescent="0.25">
      <c r="D42" s="7" t="s">
        <v>892</v>
      </c>
      <c r="E42" s="7" t="s">
        <v>852</v>
      </c>
    </row>
    <row r="43" spans="4:5" x14ac:dyDescent="0.25">
      <c r="D43" s="7" t="s">
        <v>893</v>
      </c>
      <c r="E43" s="7" t="s">
        <v>852</v>
      </c>
    </row>
    <row r="44" spans="4:5" x14ac:dyDescent="0.25">
      <c r="D44" s="7" t="s">
        <v>894</v>
      </c>
      <c r="E44" s="7" t="s">
        <v>852</v>
      </c>
    </row>
    <row r="45" spans="4:5" x14ac:dyDescent="0.25">
      <c r="D45" s="7" t="s">
        <v>895</v>
      </c>
      <c r="E45" s="7" t="s">
        <v>852</v>
      </c>
    </row>
    <row r="46" spans="4:5" x14ac:dyDescent="0.25">
      <c r="D46" s="7" t="s">
        <v>896</v>
      </c>
      <c r="E46" s="7" t="s">
        <v>852</v>
      </c>
    </row>
    <row r="47" spans="4:5" x14ac:dyDescent="0.25">
      <c r="D47" s="7" t="s">
        <v>897</v>
      </c>
      <c r="E47" s="7" t="s">
        <v>852</v>
      </c>
    </row>
    <row r="48" spans="4:5" x14ac:dyDescent="0.25">
      <c r="D48" s="7" t="s">
        <v>898</v>
      </c>
      <c r="E48" s="7" t="s">
        <v>852</v>
      </c>
    </row>
    <row r="49" spans="4:5" x14ac:dyDescent="0.25">
      <c r="D49" s="7" t="s">
        <v>689</v>
      </c>
      <c r="E49" s="7" t="s">
        <v>852</v>
      </c>
    </row>
    <row r="50" spans="4:5" x14ac:dyDescent="0.25">
      <c r="D50" s="7" t="s">
        <v>899</v>
      </c>
      <c r="E50" s="7" t="s">
        <v>852</v>
      </c>
    </row>
    <row r="51" spans="4:5" x14ac:dyDescent="0.25">
      <c r="D51" s="7" t="s">
        <v>900</v>
      </c>
      <c r="E51" s="7" t="s">
        <v>852</v>
      </c>
    </row>
    <row r="52" spans="4:5" x14ac:dyDescent="0.25">
      <c r="D52" s="7" t="s">
        <v>901</v>
      </c>
      <c r="E52" s="7" t="s">
        <v>852</v>
      </c>
    </row>
    <row r="53" spans="4:5" x14ac:dyDescent="0.25">
      <c r="D53" s="7" t="s">
        <v>902</v>
      </c>
      <c r="E53" s="7" t="s">
        <v>852</v>
      </c>
    </row>
    <row r="54" spans="4:5" x14ac:dyDescent="0.25">
      <c r="D54" s="7" t="s">
        <v>903</v>
      </c>
      <c r="E54" s="7" t="s">
        <v>852</v>
      </c>
    </row>
    <row r="55" spans="4:5" x14ac:dyDescent="0.25">
      <c r="D55" s="7" t="s">
        <v>904</v>
      </c>
      <c r="E55" s="7" t="s">
        <v>852</v>
      </c>
    </row>
    <row r="56" spans="4:5" x14ac:dyDescent="0.25">
      <c r="D56" s="7" t="s">
        <v>905</v>
      </c>
      <c r="E56" s="7" t="s">
        <v>852</v>
      </c>
    </row>
    <row r="57" spans="4:5" x14ac:dyDescent="0.25">
      <c r="D57" s="7" t="s">
        <v>906</v>
      </c>
      <c r="E57" s="7" t="s">
        <v>852</v>
      </c>
    </row>
    <row r="58" spans="4:5" x14ac:dyDescent="0.25">
      <c r="D58" s="7" t="s">
        <v>907</v>
      </c>
      <c r="E58" s="7" t="s">
        <v>852</v>
      </c>
    </row>
    <row r="59" spans="4:5" x14ac:dyDescent="0.25">
      <c r="D59" s="7" t="s">
        <v>908</v>
      </c>
      <c r="E59" s="7" t="s">
        <v>852</v>
      </c>
    </row>
    <row r="60" spans="4:5" x14ac:dyDescent="0.25">
      <c r="D60" s="7" t="s">
        <v>909</v>
      </c>
      <c r="E60" s="7" t="s">
        <v>852</v>
      </c>
    </row>
    <row r="61" spans="4:5" x14ac:dyDescent="0.25">
      <c r="D61" s="7" t="s">
        <v>910</v>
      </c>
      <c r="E61" s="7" t="s">
        <v>852</v>
      </c>
    </row>
    <row r="62" spans="4:5" x14ac:dyDescent="0.25">
      <c r="D62" s="7" t="s">
        <v>911</v>
      </c>
      <c r="E62" s="7" t="s">
        <v>852</v>
      </c>
    </row>
    <row r="63" spans="4:5" x14ac:dyDescent="0.25">
      <c r="D63" s="7" t="s">
        <v>912</v>
      </c>
      <c r="E63" s="7" t="s">
        <v>852</v>
      </c>
    </row>
    <row r="64" spans="4:5" x14ac:dyDescent="0.25">
      <c r="D64" s="7" t="s">
        <v>913</v>
      </c>
      <c r="E64" s="7" t="s">
        <v>852</v>
      </c>
    </row>
    <row r="65" spans="4:5" x14ac:dyDescent="0.25">
      <c r="D65" s="7" t="s">
        <v>914</v>
      </c>
      <c r="E65" s="7" t="s">
        <v>852</v>
      </c>
    </row>
    <row r="66" spans="4:5" x14ac:dyDescent="0.25">
      <c r="D66" s="7" t="s">
        <v>915</v>
      </c>
      <c r="E66" s="7" t="s">
        <v>852</v>
      </c>
    </row>
    <row r="67" spans="4:5" x14ac:dyDescent="0.25">
      <c r="D67" s="7" t="s">
        <v>916</v>
      </c>
      <c r="E67" s="7" t="s">
        <v>852</v>
      </c>
    </row>
    <row r="68" spans="4:5" x14ac:dyDescent="0.25">
      <c r="D68" s="7" t="s">
        <v>917</v>
      </c>
      <c r="E68" s="7" t="s">
        <v>852</v>
      </c>
    </row>
    <row r="69" spans="4:5" x14ac:dyDescent="0.25">
      <c r="D69" s="7" t="s">
        <v>918</v>
      </c>
      <c r="E69" s="7" t="s">
        <v>852</v>
      </c>
    </row>
    <row r="70" spans="4:5" x14ac:dyDescent="0.25">
      <c r="D70" s="7" t="s">
        <v>919</v>
      </c>
      <c r="E70" s="7" t="s">
        <v>852</v>
      </c>
    </row>
    <row r="71" spans="4:5" x14ac:dyDescent="0.25">
      <c r="D71" s="7" t="s">
        <v>920</v>
      </c>
      <c r="E71" s="7" t="s">
        <v>852</v>
      </c>
    </row>
    <row r="72" spans="4:5" x14ac:dyDescent="0.25">
      <c r="D72" s="7" t="s">
        <v>921</v>
      </c>
      <c r="E72" s="7" t="s">
        <v>852</v>
      </c>
    </row>
    <row r="73" spans="4:5" x14ac:dyDescent="0.25">
      <c r="D73" s="7" t="s">
        <v>922</v>
      </c>
      <c r="E73" s="7" t="s">
        <v>852</v>
      </c>
    </row>
    <row r="74" spans="4:5" x14ac:dyDescent="0.25">
      <c r="D74" s="7" t="s">
        <v>923</v>
      </c>
      <c r="E74" s="7" t="s">
        <v>852</v>
      </c>
    </row>
    <row r="75" spans="4:5" x14ac:dyDescent="0.25">
      <c r="D75" s="7" t="s">
        <v>924</v>
      </c>
      <c r="E75" s="7" t="s">
        <v>852</v>
      </c>
    </row>
    <row r="76" spans="4:5" x14ac:dyDescent="0.25">
      <c r="D76" s="7" t="s">
        <v>925</v>
      </c>
      <c r="E76" s="7" t="s">
        <v>852</v>
      </c>
    </row>
    <row r="77" spans="4:5" x14ac:dyDescent="0.25">
      <c r="D77" s="7" t="s">
        <v>926</v>
      </c>
      <c r="E77" s="7" t="s">
        <v>852</v>
      </c>
    </row>
    <row r="78" spans="4:5" x14ac:dyDescent="0.25">
      <c r="D78" s="7" t="s">
        <v>927</v>
      </c>
      <c r="E78" s="7" t="s">
        <v>852</v>
      </c>
    </row>
    <row r="79" spans="4:5" x14ac:dyDescent="0.25">
      <c r="D79" s="7" t="s">
        <v>928</v>
      </c>
      <c r="E79" s="7" t="s">
        <v>852</v>
      </c>
    </row>
    <row r="80" spans="4:5" x14ac:dyDescent="0.25">
      <c r="D80" s="7" t="s">
        <v>929</v>
      </c>
      <c r="E80" s="7" t="s">
        <v>852</v>
      </c>
    </row>
    <row r="81" spans="4:5" x14ac:dyDescent="0.25">
      <c r="D81" s="7" t="s">
        <v>930</v>
      </c>
      <c r="E81" s="7" t="s">
        <v>852</v>
      </c>
    </row>
    <row r="82" spans="4:5" x14ac:dyDescent="0.25">
      <c r="D82" s="7" t="s">
        <v>931</v>
      </c>
      <c r="E82" s="7" t="s">
        <v>852</v>
      </c>
    </row>
    <row r="83" spans="4:5" x14ac:dyDescent="0.25">
      <c r="D83" s="7" t="s">
        <v>932</v>
      </c>
      <c r="E83" s="7" t="s">
        <v>852</v>
      </c>
    </row>
    <row r="84" spans="4:5" x14ac:dyDescent="0.25">
      <c r="D84" s="7" t="s">
        <v>933</v>
      </c>
      <c r="E84" s="7" t="s">
        <v>852</v>
      </c>
    </row>
    <row r="85" spans="4:5" x14ac:dyDescent="0.25">
      <c r="D85" s="7" t="s">
        <v>934</v>
      </c>
      <c r="E85" s="7" t="s">
        <v>852</v>
      </c>
    </row>
    <row r="86" spans="4:5" x14ac:dyDescent="0.25">
      <c r="D86" s="7" t="s">
        <v>935</v>
      </c>
      <c r="E86" s="7" t="s">
        <v>852</v>
      </c>
    </row>
    <row r="87" spans="4:5" x14ac:dyDescent="0.25">
      <c r="D87" s="7" t="s">
        <v>936</v>
      </c>
      <c r="E87" s="7" t="s">
        <v>852</v>
      </c>
    </row>
    <row r="88" spans="4:5" x14ac:dyDescent="0.25">
      <c r="D88" s="7" t="s">
        <v>937</v>
      </c>
      <c r="E88" s="7" t="s">
        <v>852</v>
      </c>
    </row>
    <row r="89" spans="4:5" x14ac:dyDescent="0.25">
      <c r="D89" s="7" t="s">
        <v>938</v>
      </c>
      <c r="E89" s="7" t="s">
        <v>852</v>
      </c>
    </row>
    <row r="90" spans="4:5" x14ac:dyDescent="0.25">
      <c r="D90" s="7" t="s">
        <v>550</v>
      </c>
      <c r="E90" s="7" t="s">
        <v>852</v>
      </c>
    </row>
    <row r="91" spans="4:5" x14ac:dyDescent="0.25">
      <c r="D91" s="7" t="s">
        <v>558</v>
      </c>
      <c r="E91" s="7" t="s">
        <v>852</v>
      </c>
    </row>
    <row r="92" spans="4:5" x14ac:dyDescent="0.25">
      <c r="D92" s="7" t="s">
        <v>939</v>
      </c>
      <c r="E92" s="7" t="s">
        <v>852</v>
      </c>
    </row>
    <row r="93" spans="4:5" x14ac:dyDescent="0.25">
      <c r="D93" s="7" t="s">
        <v>940</v>
      </c>
      <c r="E93" s="7" t="s">
        <v>852</v>
      </c>
    </row>
    <row r="94" spans="4:5" x14ac:dyDescent="0.25">
      <c r="D94" s="7" t="s">
        <v>941</v>
      </c>
      <c r="E94" s="7" t="s">
        <v>852</v>
      </c>
    </row>
    <row r="95" spans="4:5" x14ac:dyDescent="0.25">
      <c r="D95" s="7" t="s">
        <v>942</v>
      </c>
      <c r="E95" s="7" t="s">
        <v>852</v>
      </c>
    </row>
    <row r="96" spans="4:5" x14ac:dyDescent="0.25">
      <c r="D96" s="7" t="s">
        <v>943</v>
      </c>
      <c r="E96" s="7" t="s">
        <v>852</v>
      </c>
    </row>
    <row r="97" spans="4:5" x14ac:dyDescent="0.25">
      <c r="D97" s="7" t="s">
        <v>330</v>
      </c>
      <c r="E97" s="7" t="s">
        <v>852</v>
      </c>
    </row>
    <row r="98" spans="4:5" x14ac:dyDescent="0.25">
      <c r="D98" s="7" t="s">
        <v>944</v>
      </c>
      <c r="E98" s="7" t="s">
        <v>852</v>
      </c>
    </row>
    <row r="99" spans="4:5" x14ac:dyDescent="0.25">
      <c r="D99" s="7" t="s">
        <v>945</v>
      </c>
      <c r="E99" s="7" t="s">
        <v>852</v>
      </c>
    </row>
    <row r="100" spans="4:5" x14ac:dyDescent="0.25">
      <c r="D100" s="7" t="s">
        <v>946</v>
      </c>
      <c r="E100" s="7" t="s">
        <v>852</v>
      </c>
    </row>
    <row r="101" spans="4:5" x14ac:dyDescent="0.25">
      <c r="D101" s="7" t="s">
        <v>947</v>
      </c>
      <c r="E101" s="7" t="s">
        <v>852</v>
      </c>
    </row>
    <row r="102" spans="4:5" x14ac:dyDescent="0.25">
      <c r="D102" s="7" t="s">
        <v>948</v>
      </c>
      <c r="E102" s="7" t="s">
        <v>852</v>
      </c>
    </row>
    <row r="103" spans="4:5" x14ac:dyDescent="0.25">
      <c r="D103" s="7" t="s">
        <v>949</v>
      </c>
      <c r="E103" s="7" t="s">
        <v>852</v>
      </c>
    </row>
    <row r="104" spans="4:5" x14ac:dyDescent="0.25">
      <c r="D104" s="7" t="s">
        <v>950</v>
      </c>
      <c r="E104" s="7" t="s">
        <v>852</v>
      </c>
    </row>
    <row r="105" spans="4:5" x14ac:dyDescent="0.25">
      <c r="D105" s="7" t="s">
        <v>951</v>
      </c>
      <c r="E105" s="7" t="s">
        <v>852</v>
      </c>
    </row>
    <row r="106" spans="4:5" x14ac:dyDescent="0.25">
      <c r="D106" s="7" t="s">
        <v>952</v>
      </c>
      <c r="E106" s="7" t="s">
        <v>852</v>
      </c>
    </row>
    <row r="107" spans="4:5" x14ac:dyDescent="0.25">
      <c r="D107" s="7" t="s">
        <v>953</v>
      </c>
      <c r="E107" s="7" t="s">
        <v>852</v>
      </c>
    </row>
    <row r="108" spans="4:5" x14ac:dyDescent="0.25">
      <c r="D108" s="7" t="s">
        <v>954</v>
      </c>
      <c r="E108" s="7" t="s">
        <v>852</v>
      </c>
    </row>
    <row r="109" spans="4:5" x14ac:dyDescent="0.25">
      <c r="D109" s="7" t="s">
        <v>955</v>
      </c>
      <c r="E109" s="7" t="s">
        <v>852</v>
      </c>
    </row>
    <row r="110" spans="4:5" x14ac:dyDescent="0.25">
      <c r="D110" s="7" t="s">
        <v>956</v>
      </c>
      <c r="E110" s="7" t="s">
        <v>852</v>
      </c>
    </row>
    <row r="111" spans="4:5" x14ac:dyDescent="0.25">
      <c r="D111" s="7" t="s">
        <v>957</v>
      </c>
      <c r="E111" s="7" t="s">
        <v>852</v>
      </c>
    </row>
    <row r="112" spans="4:5" x14ac:dyDescent="0.25">
      <c r="D112" s="7" t="s">
        <v>958</v>
      </c>
      <c r="E112" s="7" t="s">
        <v>852</v>
      </c>
    </row>
    <row r="113" spans="4:5" x14ac:dyDescent="0.25">
      <c r="D113" s="7" t="s">
        <v>959</v>
      </c>
      <c r="E113" s="7" t="s">
        <v>852</v>
      </c>
    </row>
    <row r="114" spans="4:5" x14ac:dyDescent="0.25">
      <c r="D114" s="7" t="s">
        <v>960</v>
      </c>
      <c r="E114" s="7" t="s">
        <v>852</v>
      </c>
    </row>
    <row r="115" spans="4:5" x14ac:dyDescent="0.25">
      <c r="D115" s="7" t="s">
        <v>961</v>
      </c>
      <c r="E115" s="7" t="s">
        <v>852</v>
      </c>
    </row>
    <row r="116" spans="4:5" x14ac:dyDescent="0.25">
      <c r="D116" s="7" t="s">
        <v>962</v>
      </c>
      <c r="E116" s="7" t="s">
        <v>852</v>
      </c>
    </row>
    <row r="117" spans="4:5" x14ac:dyDescent="0.25">
      <c r="D117" s="7" t="s">
        <v>963</v>
      </c>
      <c r="E117" s="7" t="s">
        <v>852</v>
      </c>
    </row>
    <row r="118" spans="4:5" x14ac:dyDescent="0.25">
      <c r="D118" s="7" t="s">
        <v>964</v>
      </c>
      <c r="E118" s="7" t="s">
        <v>852</v>
      </c>
    </row>
    <row r="119" spans="4:5" x14ac:dyDescent="0.25">
      <c r="D119" s="7" t="s">
        <v>965</v>
      </c>
      <c r="E119" s="7" t="s">
        <v>852</v>
      </c>
    </row>
    <row r="120" spans="4:5" x14ac:dyDescent="0.25">
      <c r="D120" s="7" t="s">
        <v>966</v>
      </c>
      <c r="E120" s="7" t="s">
        <v>852</v>
      </c>
    </row>
    <row r="121" spans="4:5" x14ac:dyDescent="0.25">
      <c r="D121" s="7" t="s">
        <v>967</v>
      </c>
      <c r="E121" s="7" t="s">
        <v>852</v>
      </c>
    </row>
    <row r="122" spans="4:5" x14ac:dyDescent="0.25">
      <c r="D122" s="7" t="s">
        <v>968</v>
      </c>
      <c r="E122" s="7" t="s">
        <v>852</v>
      </c>
    </row>
    <row r="123" spans="4:5" x14ac:dyDescent="0.25">
      <c r="D123" s="7" t="s">
        <v>969</v>
      </c>
      <c r="E123" s="7" t="s">
        <v>852</v>
      </c>
    </row>
    <row r="124" spans="4:5" x14ac:dyDescent="0.25">
      <c r="D124" s="7" t="s">
        <v>970</v>
      </c>
      <c r="E124" s="7" t="s">
        <v>852</v>
      </c>
    </row>
    <row r="125" spans="4:5" x14ac:dyDescent="0.25">
      <c r="D125" s="7" t="s">
        <v>971</v>
      </c>
      <c r="E125" s="7" t="s">
        <v>852</v>
      </c>
    </row>
    <row r="126" spans="4:5" x14ac:dyDescent="0.25">
      <c r="D126" s="7" t="s">
        <v>972</v>
      </c>
      <c r="E126" s="7" t="s">
        <v>852</v>
      </c>
    </row>
    <row r="127" spans="4:5" x14ac:dyDescent="0.25">
      <c r="D127" s="7" t="s">
        <v>973</v>
      </c>
      <c r="E127" s="7" t="s">
        <v>852</v>
      </c>
    </row>
    <row r="128" spans="4:5" x14ac:dyDescent="0.25">
      <c r="D128" s="7" t="s">
        <v>974</v>
      </c>
      <c r="E128" s="7" t="s">
        <v>852</v>
      </c>
    </row>
    <row r="129" spans="4:5" x14ac:dyDescent="0.25">
      <c r="D129" s="7" t="s">
        <v>975</v>
      </c>
      <c r="E129" s="7" t="s">
        <v>852</v>
      </c>
    </row>
    <row r="130" spans="4:5" x14ac:dyDescent="0.25">
      <c r="D130" s="7" t="s">
        <v>976</v>
      </c>
      <c r="E130" s="7" t="s">
        <v>852</v>
      </c>
    </row>
    <row r="131" spans="4:5" x14ac:dyDescent="0.25">
      <c r="D131" s="7" t="s">
        <v>977</v>
      </c>
      <c r="E131" s="7" t="s">
        <v>852</v>
      </c>
    </row>
    <row r="132" spans="4:5" x14ac:dyDescent="0.25">
      <c r="D132" s="7" t="s">
        <v>978</v>
      </c>
      <c r="E132" s="7" t="s">
        <v>852</v>
      </c>
    </row>
    <row r="133" spans="4:5" x14ac:dyDescent="0.25">
      <c r="D133" s="7" t="s">
        <v>979</v>
      </c>
      <c r="E133" s="7" t="s">
        <v>852</v>
      </c>
    </row>
    <row r="134" spans="4:5" x14ac:dyDescent="0.25">
      <c r="D134" s="7" t="s">
        <v>194</v>
      </c>
      <c r="E134" s="7" t="s">
        <v>852</v>
      </c>
    </row>
    <row r="135" spans="4:5" x14ac:dyDescent="0.25">
      <c r="D135" s="7" t="s">
        <v>980</v>
      </c>
      <c r="E135" s="7" t="s">
        <v>852</v>
      </c>
    </row>
    <row r="136" spans="4:5" x14ac:dyDescent="0.25">
      <c r="D136" s="7" t="s">
        <v>981</v>
      </c>
      <c r="E136" s="7" t="s">
        <v>852</v>
      </c>
    </row>
    <row r="137" spans="4:5" x14ac:dyDescent="0.25">
      <c r="D137" s="7" t="s">
        <v>982</v>
      </c>
      <c r="E137" s="7" t="s">
        <v>852</v>
      </c>
    </row>
    <row r="138" spans="4:5" x14ac:dyDescent="0.25">
      <c r="D138" s="7" t="s">
        <v>983</v>
      </c>
      <c r="E138" s="7" t="s">
        <v>852</v>
      </c>
    </row>
    <row r="139" spans="4:5" x14ac:dyDescent="0.25">
      <c r="D139" s="7" t="s">
        <v>984</v>
      </c>
      <c r="E139" s="7" t="s">
        <v>852</v>
      </c>
    </row>
    <row r="140" spans="4:5" x14ac:dyDescent="0.25">
      <c r="D140" s="7" t="s">
        <v>985</v>
      </c>
      <c r="E140" s="7" t="s">
        <v>852</v>
      </c>
    </row>
    <row r="141" spans="4:5" x14ac:dyDescent="0.25">
      <c r="D141" s="7" t="s">
        <v>986</v>
      </c>
      <c r="E141" s="7" t="s">
        <v>852</v>
      </c>
    </row>
    <row r="142" spans="4:5" x14ac:dyDescent="0.25">
      <c r="D142" s="7" t="s">
        <v>987</v>
      </c>
      <c r="E142" s="7" t="s">
        <v>852</v>
      </c>
    </row>
    <row r="143" spans="4:5" x14ac:dyDescent="0.25">
      <c r="D143" s="7" t="s">
        <v>988</v>
      </c>
      <c r="E143" s="7" t="s">
        <v>852</v>
      </c>
    </row>
    <row r="144" spans="4:5" x14ac:dyDescent="0.25">
      <c r="D144" s="7" t="s">
        <v>989</v>
      </c>
      <c r="E144" s="7" t="s">
        <v>852</v>
      </c>
    </row>
    <row r="145" spans="4:5" x14ac:dyDescent="0.25">
      <c r="D145" s="7" t="s">
        <v>990</v>
      </c>
      <c r="E145" s="7" t="s">
        <v>852</v>
      </c>
    </row>
    <row r="146" spans="4:5" x14ac:dyDescent="0.25">
      <c r="D146" s="7" t="s">
        <v>991</v>
      </c>
      <c r="E146" s="7" t="s">
        <v>852</v>
      </c>
    </row>
    <row r="147" spans="4:5" x14ac:dyDescent="0.25">
      <c r="D147" s="7" t="s">
        <v>992</v>
      </c>
      <c r="E147" s="7" t="s">
        <v>852</v>
      </c>
    </row>
    <row r="148" spans="4:5" x14ac:dyDescent="0.25">
      <c r="D148" s="7" t="s">
        <v>993</v>
      </c>
      <c r="E148" s="7" t="s">
        <v>852</v>
      </c>
    </row>
    <row r="149" spans="4:5" x14ac:dyDescent="0.25">
      <c r="D149" s="7" t="s">
        <v>994</v>
      </c>
      <c r="E149" s="7" t="s">
        <v>852</v>
      </c>
    </row>
    <row r="150" spans="4:5" x14ac:dyDescent="0.25">
      <c r="D150" s="7" t="s">
        <v>995</v>
      </c>
      <c r="E150" s="7" t="s">
        <v>852</v>
      </c>
    </row>
    <row r="151" spans="4:5" x14ac:dyDescent="0.25">
      <c r="D151" s="7" t="s">
        <v>996</v>
      </c>
      <c r="E151" s="7" t="s">
        <v>852</v>
      </c>
    </row>
    <row r="152" spans="4:5" x14ac:dyDescent="0.25">
      <c r="D152" s="7" t="s">
        <v>635</v>
      </c>
      <c r="E152" s="7" t="s">
        <v>852</v>
      </c>
    </row>
    <row r="153" spans="4:5" x14ac:dyDescent="0.25">
      <c r="D153" s="7" t="s">
        <v>997</v>
      </c>
      <c r="E153" s="7" t="s">
        <v>852</v>
      </c>
    </row>
    <row r="154" spans="4:5" x14ac:dyDescent="0.25">
      <c r="D154" s="7" t="s">
        <v>998</v>
      </c>
      <c r="E154" s="7" t="s">
        <v>852</v>
      </c>
    </row>
    <row r="155" spans="4:5" x14ac:dyDescent="0.25">
      <c r="D155" s="7" t="s">
        <v>999</v>
      </c>
      <c r="E155" s="7" t="s">
        <v>852</v>
      </c>
    </row>
    <row r="156" spans="4:5" x14ac:dyDescent="0.25">
      <c r="D156" s="7" t="s">
        <v>1000</v>
      </c>
      <c r="E156" s="7" t="s">
        <v>852</v>
      </c>
    </row>
    <row r="157" spans="4:5" x14ac:dyDescent="0.25">
      <c r="D157" s="7" t="s">
        <v>1001</v>
      </c>
      <c r="E157" s="7" t="s">
        <v>852</v>
      </c>
    </row>
    <row r="158" spans="4:5" x14ac:dyDescent="0.25">
      <c r="D158" s="7" t="s">
        <v>1002</v>
      </c>
      <c r="E158" s="7" t="s">
        <v>852</v>
      </c>
    </row>
    <row r="159" spans="4:5" x14ac:dyDescent="0.25">
      <c r="D159" s="7" t="s">
        <v>1003</v>
      </c>
      <c r="E159" s="7" t="s">
        <v>852</v>
      </c>
    </row>
    <row r="160" spans="4:5" x14ac:dyDescent="0.25">
      <c r="D160" s="7" t="s">
        <v>1004</v>
      </c>
      <c r="E160" s="7" t="s">
        <v>852</v>
      </c>
    </row>
    <row r="161" spans="4:5" x14ac:dyDescent="0.25">
      <c r="D161" s="7" t="s">
        <v>1005</v>
      </c>
      <c r="E161" s="7" t="s">
        <v>852</v>
      </c>
    </row>
    <row r="162" spans="4:5" x14ac:dyDescent="0.25">
      <c r="D162" s="7" t="s">
        <v>1006</v>
      </c>
      <c r="E162" s="7" t="s">
        <v>852</v>
      </c>
    </row>
    <row r="163" spans="4:5" x14ac:dyDescent="0.25">
      <c r="D163" s="7" t="s">
        <v>1007</v>
      </c>
      <c r="E163" s="7" t="s">
        <v>852</v>
      </c>
    </row>
    <row r="164" spans="4:5" x14ac:dyDescent="0.25">
      <c r="D164" s="7" t="s">
        <v>1008</v>
      </c>
      <c r="E164" s="7" t="s">
        <v>852</v>
      </c>
    </row>
    <row r="165" spans="4:5" x14ac:dyDescent="0.25">
      <c r="D165" s="7" t="s">
        <v>456</v>
      </c>
      <c r="E165" s="7" t="s">
        <v>852</v>
      </c>
    </row>
    <row r="166" spans="4:5" x14ac:dyDescent="0.25">
      <c r="D166" s="7" t="s">
        <v>1009</v>
      </c>
      <c r="E166" s="7" t="s">
        <v>852</v>
      </c>
    </row>
    <row r="167" spans="4:5" x14ac:dyDescent="0.25">
      <c r="D167" s="7" t="s">
        <v>1010</v>
      </c>
      <c r="E167" s="7" t="s">
        <v>852</v>
      </c>
    </row>
    <row r="168" spans="4:5" x14ac:dyDescent="0.25">
      <c r="D168" s="7" t="s">
        <v>1011</v>
      </c>
      <c r="E168" s="7" t="s">
        <v>852</v>
      </c>
    </row>
    <row r="169" spans="4:5" x14ac:dyDescent="0.25">
      <c r="D169" s="7" t="s">
        <v>1012</v>
      </c>
      <c r="E169" s="7" t="s">
        <v>852</v>
      </c>
    </row>
    <row r="170" spans="4:5" x14ac:dyDescent="0.25">
      <c r="D170" s="7" t="s">
        <v>235</v>
      </c>
      <c r="E170" s="7" t="s">
        <v>852</v>
      </c>
    </row>
    <row r="171" spans="4:5" x14ac:dyDescent="0.25">
      <c r="D171" s="7" t="s">
        <v>1013</v>
      </c>
      <c r="E171" s="7" t="s">
        <v>852</v>
      </c>
    </row>
    <row r="172" spans="4:5" x14ac:dyDescent="0.25">
      <c r="D172" s="7" t="s">
        <v>1014</v>
      </c>
      <c r="E172" s="7" t="s">
        <v>852</v>
      </c>
    </row>
    <row r="173" spans="4:5" x14ac:dyDescent="0.25">
      <c r="D173" s="7" t="s">
        <v>1015</v>
      </c>
      <c r="E173" s="7" t="s">
        <v>852</v>
      </c>
    </row>
    <row r="174" spans="4:5" x14ac:dyDescent="0.25">
      <c r="D174" s="7" t="s">
        <v>1016</v>
      </c>
      <c r="E174" s="7" t="s">
        <v>852</v>
      </c>
    </row>
    <row r="175" spans="4:5" x14ac:dyDescent="0.25">
      <c r="D175" s="7" t="s">
        <v>718</v>
      </c>
      <c r="E175" s="7" t="s">
        <v>852</v>
      </c>
    </row>
    <row r="176" spans="4:5" x14ac:dyDescent="0.25">
      <c r="D176" s="7" t="s">
        <v>1017</v>
      </c>
      <c r="E176" s="7" t="s">
        <v>852</v>
      </c>
    </row>
    <row r="177" spans="4:5" x14ac:dyDescent="0.25">
      <c r="D177" s="7" t="s">
        <v>1018</v>
      </c>
      <c r="E177" s="7" t="s">
        <v>852</v>
      </c>
    </row>
    <row r="178" spans="4:5" x14ac:dyDescent="0.25">
      <c r="D178" s="7" t="s">
        <v>1019</v>
      </c>
      <c r="E178" s="7" t="s">
        <v>852</v>
      </c>
    </row>
    <row r="179" spans="4:5" x14ac:dyDescent="0.25">
      <c r="D179" s="7" t="s">
        <v>1020</v>
      </c>
      <c r="E179" s="7" t="s">
        <v>852</v>
      </c>
    </row>
    <row r="180" spans="4:5" x14ac:dyDescent="0.25">
      <c r="D180" s="7" t="s">
        <v>1021</v>
      </c>
      <c r="E180" s="7" t="s">
        <v>852</v>
      </c>
    </row>
    <row r="181" spans="4:5" x14ac:dyDescent="0.25">
      <c r="D181" s="7" t="s">
        <v>1022</v>
      </c>
      <c r="E181" s="7" t="s">
        <v>852</v>
      </c>
    </row>
    <row r="182" spans="4:5" x14ac:dyDescent="0.25">
      <c r="D182" s="7" t="s">
        <v>1023</v>
      </c>
      <c r="E182" s="7" t="s">
        <v>852</v>
      </c>
    </row>
    <row r="183" spans="4:5" x14ac:dyDescent="0.25">
      <c r="D183" s="7" t="s">
        <v>1024</v>
      </c>
      <c r="E183" s="7" t="s">
        <v>852</v>
      </c>
    </row>
    <row r="184" spans="4:5" x14ac:dyDescent="0.25">
      <c r="D184" s="7" t="s">
        <v>1025</v>
      </c>
      <c r="E184" s="7" t="s">
        <v>852</v>
      </c>
    </row>
    <row r="185" spans="4:5" x14ac:dyDescent="0.25">
      <c r="D185" s="7" t="s">
        <v>1026</v>
      </c>
      <c r="E185" s="7" t="s">
        <v>852</v>
      </c>
    </row>
    <row r="186" spans="4:5" x14ac:dyDescent="0.25">
      <c r="D186" s="7" t="s">
        <v>1027</v>
      </c>
      <c r="E186" s="7" t="s">
        <v>852</v>
      </c>
    </row>
    <row r="187" spans="4:5" x14ac:dyDescent="0.25">
      <c r="D187" s="7" t="s">
        <v>819</v>
      </c>
      <c r="E187" s="7" t="s">
        <v>852</v>
      </c>
    </row>
    <row r="188" spans="4:5" x14ac:dyDescent="0.25">
      <c r="D188" s="7" t="s">
        <v>1028</v>
      </c>
      <c r="E188" s="7" t="s">
        <v>852</v>
      </c>
    </row>
    <row r="189" spans="4:5" x14ac:dyDescent="0.25">
      <c r="D189" s="7" t="s">
        <v>1029</v>
      </c>
      <c r="E189" s="7" t="s">
        <v>852</v>
      </c>
    </row>
    <row r="190" spans="4:5" x14ac:dyDescent="0.25">
      <c r="D190" s="7" t="s">
        <v>1030</v>
      </c>
      <c r="E190" s="7" t="s">
        <v>852</v>
      </c>
    </row>
    <row r="191" spans="4:5" x14ac:dyDescent="0.25">
      <c r="D191" s="7" t="s">
        <v>1031</v>
      </c>
      <c r="E191" s="7" t="s">
        <v>852</v>
      </c>
    </row>
    <row r="192" spans="4:5" x14ac:dyDescent="0.25">
      <c r="D192" s="7" t="s">
        <v>1032</v>
      </c>
      <c r="E192" s="7" t="s">
        <v>852</v>
      </c>
    </row>
    <row r="193" spans="4:5" x14ac:dyDescent="0.25">
      <c r="D193" s="7" t="s">
        <v>1033</v>
      </c>
      <c r="E193" s="7" t="s">
        <v>852</v>
      </c>
    </row>
    <row r="194" spans="4:5" x14ac:dyDescent="0.25">
      <c r="D194" s="7" t="s">
        <v>1034</v>
      </c>
      <c r="E194" s="7" t="s">
        <v>852</v>
      </c>
    </row>
    <row r="195" spans="4:5" x14ac:dyDescent="0.25">
      <c r="D195" s="7" t="s">
        <v>1035</v>
      </c>
      <c r="E195" s="7" t="s">
        <v>852</v>
      </c>
    </row>
    <row r="196" spans="4:5" x14ac:dyDescent="0.25">
      <c r="D196" s="7" t="s">
        <v>160</v>
      </c>
      <c r="E196" s="7" t="s">
        <v>852</v>
      </c>
    </row>
    <row r="197" spans="4:5" x14ac:dyDescent="0.25">
      <c r="D197" s="7" t="s">
        <v>169</v>
      </c>
      <c r="E197" s="7" t="s">
        <v>852</v>
      </c>
    </row>
    <row r="198" spans="4:5" x14ac:dyDescent="0.25">
      <c r="D198" s="7" t="s">
        <v>1036</v>
      </c>
      <c r="E198" s="7" t="s">
        <v>852</v>
      </c>
    </row>
    <row r="199" spans="4:5" x14ac:dyDescent="0.25">
      <c r="D199" s="7" t="s">
        <v>406</v>
      </c>
      <c r="E199" s="7" t="s">
        <v>852</v>
      </c>
    </row>
    <row r="200" spans="4:5" x14ac:dyDescent="0.25">
      <c r="D200" s="7" t="s">
        <v>1037</v>
      </c>
      <c r="E200" s="7" t="s">
        <v>852</v>
      </c>
    </row>
    <row r="201" spans="4:5" x14ac:dyDescent="0.25">
      <c r="D201" s="7" t="s">
        <v>1038</v>
      </c>
      <c r="E201" s="7" t="s">
        <v>852</v>
      </c>
    </row>
    <row r="202" spans="4:5" x14ac:dyDescent="0.25">
      <c r="D202" s="7" t="s">
        <v>1039</v>
      </c>
      <c r="E202" s="7" t="s">
        <v>852</v>
      </c>
    </row>
    <row r="203" spans="4:5" x14ac:dyDescent="0.25">
      <c r="D203" s="7" t="s">
        <v>1040</v>
      </c>
      <c r="E203" s="7" t="s">
        <v>852</v>
      </c>
    </row>
    <row r="204" spans="4:5" x14ac:dyDescent="0.25">
      <c r="D204" s="7" t="s">
        <v>1041</v>
      </c>
      <c r="E204" s="7" t="s">
        <v>852</v>
      </c>
    </row>
    <row r="205" spans="4:5" x14ac:dyDescent="0.25">
      <c r="D205" s="7" t="s">
        <v>1042</v>
      </c>
      <c r="E205" s="7" t="s">
        <v>852</v>
      </c>
    </row>
    <row r="206" spans="4:5" x14ac:dyDescent="0.25">
      <c r="D206" s="7" t="s">
        <v>1043</v>
      </c>
      <c r="E206" s="7" t="s">
        <v>852</v>
      </c>
    </row>
    <row r="207" spans="4:5" x14ac:dyDescent="0.25">
      <c r="D207" s="7" t="s">
        <v>1044</v>
      </c>
      <c r="E207" s="7" t="s">
        <v>852</v>
      </c>
    </row>
    <row r="208" spans="4:5" x14ac:dyDescent="0.25">
      <c r="D208" s="7" t="s">
        <v>1045</v>
      </c>
      <c r="E208" s="7" t="s">
        <v>852</v>
      </c>
    </row>
    <row r="209" spans="4:5" x14ac:dyDescent="0.25">
      <c r="D209" s="7" t="s">
        <v>1046</v>
      </c>
      <c r="E209" s="7" t="s">
        <v>852</v>
      </c>
    </row>
    <row r="210" spans="4:5" x14ac:dyDescent="0.25">
      <c r="D210" s="7" t="s">
        <v>1047</v>
      </c>
      <c r="E210" s="7" t="s">
        <v>852</v>
      </c>
    </row>
    <row r="211" spans="4:5" x14ac:dyDescent="0.25">
      <c r="D211" s="7" t="s">
        <v>1048</v>
      </c>
      <c r="E211" s="7" t="s">
        <v>852</v>
      </c>
    </row>
    <row r="212" spans="4:5" x14ac:dyDescent="0.25">
      <c r="D212" s="7" t="s">
        <v>1049</v>
      </c>
      <c r="E212" s="7" t="s">
        <v>852</v>
      </c>
    </row>
    <row r="213" spans="4:5" x14ac:dyDescent="0.25">
      <c r="D213" s="7" t="s">
        <v>1050</v>
      </c>
      <c r="E213" s="7" t="s">
        <v>852</v>
      </c>
    </row>
    <row r="214" spans="4:5" x14ac:dyDescent="0.25">
      <c r="D214" s="7" t="s">
        <v>1051</v>
      </c>
      <c r="E214" s="7" t="s">
        <v>852</v>
      </c>
    </row>
    <row r="215" spans="4:5" x14ac:dyDescent="0.25">
      <c r="D215" s="7" t="s">
        <v>1052</v>
      </c>
      <c r="E215" s="7" t="s">
        <v>852</v>
      </c>
    </row>
    <row r="216" spans="4:5" x14ac:dyDescent="0.25">
      <c r="D216" s="7" t="s">
        <v>1053</v>
      </c>
      <c r="E216" s="7" t="s">
        <v>852</v>
      </c>
    </row>
    <row r="217" spans="4:5" x14ac:dyDescent="0.25">
      <c r="D217" s="7" t="s">
        <v>1054</v>
      </c>
      <c r="E217" s="7" t="s">
        <v>852</v>
      </c>
    </row>
    <row r="218" spans="4:5" x14ac:dyDescent="0.25">
      <c r="D218" s="7" t="s">
        <v>842</v>
      </c>
      <c r="E218" s="7" t="s">
        <v>852</v>
      </c>
    </row>
    <row r="219" spans="4:5" x14ac:dyDescent="0.25">
      <c r="D219" s="7" t="s">
        <v>1055</v>
      </c>
      <c r="E219" s="7" t="s">
        <v>852</v>
      </c>
    </row>
    <row r="220" spans="4:5" x14ac:dyDescent="0.25">
      <c r="D220" s="7" t="s">
        <v>1056</v>
      </c>
      <c r="E220" s="7" t="s">
        <v>852</v>
      </c>
    </row>
    <row r="221" spans="4:5" x14ac:dyDescent="0.25">
      <c r="D221" s="7" t="s">
        <v>1057</v>
      </c>
      <c r="E221" s="7" t="s">
        <v>852</v>
      </c>
    </row>
    <row r="222" spans="4:5" x14ac:dyDescent="0.25">
      <c r="D222" s="7" t="s">
        <v>1058</v>
      </c>
      <c r="E222" s="7" t="s">
        <v>852</v>
      </c>
    </row>
    <row r="223" spans="4:5" x14ac:dyDescent="0.25">
      <c r="D223" s="7" t="s">
        <v>1059</v>
      </c>
      <c r="E223" s="7" t="s">
        <v>852</v>
      </c>
    </row>
    <row r="224" spans="4:5" x14ac:dyDescent="0.25">
      <c r="D224" s="7" t="s">
        <v>1060</v>
      </c>
      <c r="E224" s="7" t="s">
        <v>852</v>
      </c>
    </row>
    <row r="225" spans="4:5" x14ac:dyDescent="0.25">
      <c r="D225" s="7" t="s">
        <v>1061</v>
      </c>
      <c r="E225" s="7" t="s">
        <v>852</v>
      </c>
    </row>
    <row r="226" spans="4:5" x14ac:dyDescent="0.25">
      <c r="D226" s="7" t="s">
        <v>1062</v>
      </c>
      <c r="E226" s="7" t="s">
        <v>852</v>
      </c>
    </row>
    <row r="227" spans="4:5" x14ac:dyDescent="0.25">
      <c r="D227" s="7" t="s">
        <v>1063</v>
      </c>
      <c r="E227" s="7" t="s">
        <v>852</v>
      </c>
    </row>
    <row r="228" spans="4:5" x14ac:dyDescent="0.25">
      <c r="D228" s="7" t="s">
        <v>1064</v>
      </c>
      <c r="E228" s="7" t="s">
        <v>852</v>
      </c>
    </row>
    <row r="229" spans="4:5" x14ac:dyDescent="0.25">
      <c r="D229" s="7" t="s">
        <v>371</v>
      </c>
      <c r="E229" s="7" t="s">
        <v>852</v>
      </c>
    </row>
    <row r="230" spans="4:5" x14ac:dyDescent="0.25">
      <c r="D230" s="7" t="s">
        <v>1065</v>
      </c>
      <c r="E230" s="7" t="s">
        <v>852</v>
      </c>
    </row>
    <row r="231" spans="4:5" x14ac:dyDescent="0.25">
      <c r="D231" s="7" t="s">
        <v>1066</v>
      </c>
      <c r="E231" s="7" t="s">
        <v>852</v>
      </c>
    </row>
    <row r="232" spans="4:5" x14ac:dyDescent="0.25">
      <c r="D232" s="7" t="s">
        <v>1067</v>
      </c>
      <c r="E232" s="7" t="s">
        <v>852</v>
      </c>
    </row>
    <row r="233" spans="4:5" x14ac:dyDescent="0.25">
      <c r="D233" s="7" t="s">
        <v>1068</v>
      </c>
      <c r="E233" s="7" t="s">
        <v>852</v>
      </c>
    </row>
    <row r="234" spans="4:5" x14ac:dyDescent="0.25">
      <c r="D234" s="7" t="s">
        <v>1069</v>
      </c>
      <c r="E234" s="7" t="s">
        <v>852</v>
      </c>
    </row>
    <row r="235" spans="4:5" x14ac:dyDescent="0.25">
      <c r="D235" s="7" t="s">
        <v>1070</v>
      </c>
      <c r="E235" s="7" t="s">
        <v>852</v>
      </c>
    </row>
    <row r="236" spans="4:5" x14ac:dyDescent="0.25">
      <c r="D236" s="7" t="s">
        <v>1071</v>
      </c>
      <c r="E236" s="7" t="s">
        <v>852</v>
      </c>
    </row>
    <row r="237" spans="4:5" x14ac:dyDescent="0.25">
      <c r="D237" s="7" t="s">
        <v>1072</v>
      </c>
      <c r="E237" s="7" t="s">
        <v>852</v>
      </c>
    </row>
    <row r="238" spans="4:5" x14ac:dyDescent="0.25">
      <c r="D238" s="7" t="s">
        <v>1073</v>
      </c>
      <c r="E238" s="7" t="s">
        <v>852</v>
      </c>
    </row>
    <row r="239" spans="4:5" x14ac:dyDescent="0.25">
      <c r="D239" s="7" t="s">
        <v>1074</v>
      </c>
      <c r="E239" s="7" t="s">
        <v>852</v>
      </c>
    </row>
    <row r="240" spans="4:5" x14ac:dyDescent="0.25">
      <c r="D240" s="7" t="s">
        <v>1075</v>
      </c>
      <c r="E240" s="7" t="s">
        <v>852</v>
      </c>
    </row>
    <row r="241" spans="4:5" x14ac:dyDescent="0.25">
      <c r="D241" s="7" t="s">
        <v>1076</v>
      </c>
      <c r="E241" s="7" t="s">
        <v>852</v>
      </c>
    </row>
    <row r="242" spans="4:5" x14ac:dyDescent="0.25">
      <c r="D242" s="7" t="s">
        <v>1077</v>
      </c>
      <c r="E242" s="7" t="s">
        <v>852</v>
      </c>
    </row>
    <row r="243" spans="4:5" x14ac:dyDescent="0.25">
      <c r="D243" s="7" t="s">
        <v>1078</v>
      </c>
      <c r="E243" s="7" t="s">
        <v>852</v>
      </c>
    </row>
    <row r="244" spans="4:5" x14ac:dyDescent="0.25">
      <c r="D244" s="7" t="s">
        <v>1079</v>
      </c>
      <c r="E244" s="7" t="s">
        <v>852</v>
      </c>
    </row>
    <row r="245" spans="4:5" x14ac:dyDescent="0.25">
      <c r="D245" s="7" t="s">
        <v>1080</v>
      </c>
      <c r="E245" s="7" t="s">
        <v>852</v>
      </c>
    </row>
    <row r="246" spans="4:5" x14ac:dyDescent="0.25">
      <c r="D246" s="7" t="s">
        <v>1081</v>
      </c>
      <c r="E246" s="7" t="s">
        <v>852</v>
      </c>
    </row>
    <row r="247" spans="4:5" x14ac:dyDescent="0.25">
      <c r="D247" s="7" t="s">
        <v>1082</v>
      </c>
      <c r="E247" s="7" t="s">
        <v>852</v>
      </c>
    </row>
    <row r="248" spans="4:5" x14ac:dyDescent="0.25">
      <c r="D248" s="7" t="s">
        <v>1083</v>
      </c>
      <c r="E248" s="7" t="s">
        <v>852</v>
      </c>
    </row>
    <row r="249" spans="4:5" x14ac:dyDescent="0.25">
      <c r="D249" s="7" t="s">
        <v>1084</v>
      </c>
      <c r="E249" s="7" t="s">
        <v>852</v>
      </c>
    </row>
    <row r="250" spans="4:5" x14ac:dyDescent="0.25">
      <c r="D250" s="7" t="s">
        <v>1085</v>
      </c>
      <c r="E250" s="7" t="s">
        <v>852</v>
      </c>
    </row>
    <row r="251" spans="4:5" x14ac:dyDescent="0.25">
      <c r="D251" s="7" t="s">
        <v>1086</v>
      </c>
      <c r="E251" s="7" t="s">
        <v>852</v>
      </c>
    </row>
    <row r="252" spans="4:5" x14ac:dyDescent="0.25">
      <c r="D252" s="7" t="s">
        <v>1087</v>
      </c>
      <c r="E252" s="7" t="s">
        <v>852</v>
      </c>
    </row>
    <row r="253" spans="4:5" x14ac:dyDescent="0.25">
      <c r="D253" s="7" t="s">
        <v>1088</v>
      </c>
      <c r="E253" s="7" t="s">
        <v>852</v>
      </c>
    </row>
    <row r="254" spans="4:5" x14ac:dyDescent="0.25">
      <c r="D254" s="7" t="s">
        <v>1089</v>
      </c>
      <c r="E254" s="7" t="s">
        <v>852</v>
      </c>
    </row>
    <row r="255" spans="4:5" x14ac:dyDescent="0.25">
      <c r="D255" s="7" t="s">
        <v>139</v>
      </c>
      <c r="E255" s="7" t="s">
        <v>852</v>
      </c>
    </row>
    <row r="256" spans="4:5" x14ac:dyDescent="0.25">
      <c r="D256" s="7" t="s">
        <v>1090</v>
      </c>
      <c r="E256" s="7" t="s">
        <v>852</v>
      </c>
    </row>
    <row r="257" spans="4:5" x14ac:dyDescent="0.25">
      <c r="D257" s="7" t="s">
        <v>1091</v>
      </c>
      <c r="E257" s="7" t="s">
        <v>852</v>
      </c>
    </row>
    <row r="258" spans="4:5" x14ac:dyDescent="0.25">
      <c r="D258" s="7" t="s">
        <v>1092</v>
      </c>
      <c r="E258" s="7" t="s">
        <v>852</v>
      </c>
    </row>
    <row r="259" spans="4:5" x14ac:dyDescent="0.25">
      <c r="D259" s="7" t="s">
        <v>1093</v>
      </c>
      <c r="E259" s="7" t="s">
        <v>852</v>
      </c>
    </row>
    <row r="260" spans="4:5" x14ac:dyDescent="0.25">
      <c r="D260" s="7" t="s">
        <v>383</v>
      </c>
      <c r="E260" s="7" t="s">
        <v>852</v>
      </c>
    </row>
    <row r="261" spans="4:5" x14ac:dyDescent="0.25">
      <c r="D261" s="7" t="s">
        <v>1094</v>
      </c>
      <c r="E261" s="7" t="s">
        <v>852</v>
      </c>
    </row>
    <row r="262" spans="4:5" x14ac:dyDescent="0.25">
      <c r="D262" s="7" t="s">
        <v>1095</v>
      </c>
      <c r="E262" s="7" t="s">
        <v>852</v>
      </c>
    </row>
    <row r="263" spans="4:5" x14ac:dyDescent="0.25">
      <c r="D263" s="7" t="s">
        <v>1096</v>
      </c>
      <c r="E263" s="7" t="s">
        <v>852</v>
      </c>
    </row>
    <row r="264" spans="4:5" x14ac:dyDescent="0.25">
      <c r="D264" s="7" t="s">
        <v>1097</v>
      </c>
      <c r="E264" s="7" t="s">
        <v>852</v>
      </c>
    </row>
    <row r="265" spans="4:5" x14ac:dyDescent="0.25">
      <c r="D265" s="7" t="s">
        <v>1098</v>
      </c>
      <c r="E265" s="7" t="s">
        <v>852</v>
      </c>
    </row>
    <row r="266" spans="4:5" x14ac:dyDescent="0.25">
      <c r="D266" s="7" t="s">
        <v>501</v>
      </c>
      <c r="E266" s="7" t="s">
        <v>852</v>
      </c>
    </row>
    <row r="267" spans="4:5" x14ac:dyDescent="0.25">
      <c r="D267" s="7" t="s">
        <v>1099</v>
      </c>
      <c r="E267" s="7" t="s">
        <v>852</v>
      </c>
    </row>
    <row r="268" spans="4:5" x14ac:dyDescent="0.25">
      <c r="D268" s="7" t="s">
        <v>1100</v>
      </c>
      <c r="E268" s="7" t="s">
        <v>852</v>
      </c>
    </row>
    <row r="269" spans="4:5" x14ac:dyDescent="0.25">
      <c r="D269" s="7" t="s">
        <v>378</v>
      </c>
      <c r="E269" s="7" t="s">
        <v>852</v>
      </c>
    </row>
    <row r="270" spans="4:5" x14ac:dyDescent="0.25">
      <c r="D270" s="7" t="s">
        <v>1101</v>
      </c>
      <c r="E270" s="7" t="s">
        <v>852</v>
      </c>
    </row>
    <row r="271" spans="4:5" x14ac:dyDescent="0.25">
      <c r="D271" s="7" t="s">
        <v>1102</v>
      </c>
      <c r="E271" s="7" t="s">
        <v>852</v>
      </c>
    </row>
    <row r="272" spans="4:5" x14ac:dyDescent="0.25">
      <c r="D272" s="7" t="s">
        <v>1103</v>
      </c>
      <c r="E272" s="7" t="s">
        <v>852</v>
      </c>
    </row>
    <row r="273" spans="4:5" x14ac:dyDescent="0.25">
      <c r="D273" s="7" t="s">
        <v>1104</v>
      </c>
      <c r="E273" s="7" t="s">
        <v>852</v>
      </c>
    </row>
    <row r="274" spans="4:5" x14ac:dyDescent="0.25">
      <c r="D274" s="7" t="s">
        <v>1105</v>
      </c>
      <c r="E274" s="7" t="s">
        <v>852</v>
      </c>
    </row>
    <row r="275" spans="4:5" x14ac:dyDescent="0.25">
      <c r="D275" s="7" t="s">
        <v>1106</v>
      </c>
      <c r="E275" s="7" t="s">
        <v>852</v>
      </c>
    </row>
    <row r="276" spans="4:5" x14ac:dyDescent="0.25">
      <c r="D276" s="7" t="s">
        <v>1107</v>
      </c>
      <c r="E276" s="7" t="s">
        <v>852</v>
      </c>
    </row>
    <row r="277" spans="4:5" x14ac:dyDescent="0.25">
      <c r="D277" s="7" t="s">
        <v>1108</v>
      </c>
      <c r="E277" s="7" t="s">
        <v>852</v>
      </c>
    </row>
    <row r="278" spans="4:5" x14ac:dyDescent="0.25">
      <c r="D278" s="7" t="s">
        <v>1109</v>
      </c>
      <c r="E278" s="7" t="s">
        <v>852</v>
      </c>
    </row>
    <row r="279" spans="4:5" x14ac:dyDescent="0.25">
      <c r="D279" s="7" t="s">
        <v>1110</v>
      </c>
      <c r="E279" s="7" t="s">
        <v>852</v>
      </c>
    </row>
    <row r="280" spans="4:5" x14ac:dyDescent="0.25">
      <c r="D280" s="7" t="s">
        <v>1111</v>
      </c>
      <c r="E280" s="7" t="s">
        <v>852</v>
      </c>
    </row>
    <row r="281" spans="4:5" x14ac:dyDescent="0.25">
      <c r="D281" s="7" t="s">
        <v>1112</v>
      </c>
      <c r="E281" s="7" t="s">
        <v>852</v>
      </c>
    </row>
    <row r="282" spans="4:5" x14ac:dyDescent="0.25">
      <c r="D282" s="7" t="s">
        <v>1113</v>
      </c>
      <c r="E282" s="7" t="s">
        <v>852</v>
      </c>
    </row>
    <row r="283" spans="4:5" x14ac:dyDescent="0.25">
      <c r="D283" s="7" t="s">
        <v>191</v>
      </c>
      <c r="E283" s="7" t="s">
        <v>852</v>
      </c>
    </row>
    <row r="284" spans="4:5" x14ac:dyDescent="0.25">
      <c r="D284" s="7" t="s">
        <v>1114</v>
      </c>
      <c r="E284" s="7" t="s">
        <v>852</v>
      </c>
    </row>
    <row r="285" spans="4:5" x14ac:dyDescent="0.25">
      <c r="D285" s="7" t="s">
        <v>1115</v>
      </c>
      <c r="E285" s="7" t="s">
        <v>852</v>
      </c>
    </row>
    <row r="286" spans="4:5" x14ac:dyDescent="0.25">
      <c r="D286" s="7" t="s">
        <v>1116</v>
      </c>
      <c r="E286" s="7" t="s">
        <v>852</v>
      </c>
    </row>
    <row r="287" spans="4:5" x14ac:dyDescent="0.25">
      <c r="D287" s="7" t="s">
        <v>1117</v>
      </c>
      <c r="E287" s="7" t="s">
        <v>852</v>
      </c>
    </row>
    <row r="288" spans="4:5" x14ac:dyDescent="0.25">
      <c r="D288" s="7" t="s">
        <v>1118</v>
      </c>
      <c r="E288" s="7" t="s">
        <v>852</v>
      </c>
    </row>
    <row r="289" spans="4:5" x14ac:dyDescent="0.25">
      <c r="D289" s="7" t="s">
        <v>1119</v>
      </c>
      <c r="E289" s="7" t="s">
        <v>852</v>
      </c>
    </row>
    <row r="290" spans="4:5" x14ac:dyDescent="0.25">
      <c r="D290" s="7" t="s">
        <v>1120</v>
      </c>
      <c r="E290" s="7" t="s">
        <v>852</v>
      </c>
    </row>
    <row r="291" spans="4:5" x14ac:dyDescent="0.25">
      <c r="D291" s="7" t="s">
        <v>1121</v>
      </c>
      <c r="E291" s="7" t="s">
        <v>852</v>
      </c>
    </row>
    <row r="292" spans="4:5" x14ac:dyDescent="0.25">
      <c r="D292" s="7" t="s">
        <v>1122</v>
      </c>
      <c r="E292" s="7" t="s">
        <v>852</v>
      </c>
    </row>
    <row r="293" spans="4:5" x14ac:dyDescent="0.25">
      <c r="D293" s="7" t="s">
        <v>1123</v>
      </c>
      <c r="E293" s="7" t="s">
        <v>852</v>
      </c>
    </row>
    <row r="294" spans="4:5" x14ac:dyDescent="0.25">
      <c r="D294" s="7" t="s">
        <v>1124</v>
      </c>
      <c r="E294" s="7" t="s">
        <v>852</v>
      </c>
    </row>
    <row r="295" spans="4:5" x14ac:dyDescent="0.25">
      <c r="D295" s="7" t="s">
        <v>1125</v>
      </c>
      <c r="E295" s="7" t="s">
        <v>852</v>
      </c>
    </row>
    <row r="296" spans="4:5" x14ac:dyDescent="0.25">
      <c r="D296" s="7" t="s">
        <v>1126</v>
      </c>
      <c r="E296" s="7" t="s">
        <v>852</v>
      </c>
    </row>
    <row r="297" spans="4:5" x14ac:dyDescent="0.25">
      <c r="D297" s="7" t="s">
        <v>1127</v>
      </c>
      <c r="E297" s="7" t="s">
        <v>852</v>
      </c>
    </row>
    <row r="298" spans="4:5" x14ac:dyDescent="0.25">
      <c r="D298" s="7" t="s">
        <v>1128</v>
      </c>
      <c r="E298" s="7" t="s">
        <v>852</v>
      </c>
    </row>
    <row r="299" spans="4:5" x14ac:dyDescent="0.25">
      <c r="D299" s="7" t="s">
        <v>1129</v>
      </c>
      <c r="E299" s="7" t="s">
        <v>852</v>
      </c>
    </row>
    <row r="300" spans="4:5" x14ac:dyDescent="0.25">
      <c r="D300" s="7" t="s">
        <v>1130</v>
      </c>
      <c r="E300" s="7" t="s">
        <v>852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showGridLines="0" topLeftCell="A7" zoomScaleNormal="100" workbookViewId="0">
      <selection activeCell="B32" sqref="B32"/>
    </sheetView>
  </sheetViews>
  <sheetFormatPr defaultColWidth="8.7109375" defaultRowHeight="15" x14ac:dyDescent="0.25"/>
  <cols>
    <col min="1" max="1" width="39.7109375" customWidth="1"/>
    <col min="2" max="2" width="22" customWidth="1"/>
    <col min="3" max="3" width="26" customWidth="1"/>
    <col min="4" max="4" width="3" customWidth="1"/>
  </cols>
  <sheetData>
    <row r="1" spans="1:3" ht="18" x14ac:dyDescent="0.25">
      <c r="A1" s="1" t="s">
        <v>1131</v>
      </c>
    </row>
    <row r="2" spans="1:3" x14ac:dyDescent="0.25">
      <c r="A2" s="2"/>
    </row>
    <row r="4" spans="1:3" ht="24.75" customHeight="1" x14ac:dyDescent="0.25">
      <c r="A4" s="3" t="s">
        <v>3</v>
      </c>
      <c r="B4" s="3" t="s">
        <v>1132</v>
      </c>
      <c r="C4" s="3" t="s">
        <v>1133</v>
      </c>
    </row>
    <row r="5" spans="1:3" ht="23.25" customHeight="1" x14ac:dyDescent="0.25">
      <c r="A5" s="14" t="s">
        <v>1134</v>
      </c>
      <c r="B5" s="26" t="s">
        <v>126</v>
      </c>
      <c r="C5" s="21" t="str">
        <f>IFERROR(VLOOKUP(B5,ReturnsTable,2,FALSE()),"Not returned")</f>
        <v>Yes</v>
      </c>
    </row>
    <row r="6" spans="1:3" ht="23.25" customHeight="1" x14ac:dyDescent="0.25">
      <c r="A6" s="14" t="s">
        <v>1135</v>
      </c>
      <c r="B6" s="26" t="s">
        <v>30</v>
      </c>
      <c r="C6" s="21" t="str">
        <f>IFERROR(VLOOKUP(B6,ReturnsTable,2,FALSE()),"Not returned")</f>
        <v>Not returned</v>
      </c>
    </row>
    <row r="7" spans="1:3" ht="23.25" customHeight="1" x14ac:dyDescent="0.25">
      <c r="A7" s="14" t="s">
        <v>1136</v>
      </c>
      <c r="B7" s="24">
        <v>0.3</v>
      </c>
      <c r="C7" s="21" t="str">
        <f>VLOOKUP(B7,DiscountTiers,2,TRUE())</f>
        <v>Medium</v>
      </c>
    </row>
    <row r="8" spans="1:3" ht="23.25" customHeight="1" x14ac:dyDescent="0.25">
      <c r="A8" s="14" t="s">
        <v>1137</v>
      </c>
      <c r="B8" s="25" t="s">
        <v>75</v>
      </c>
      <c r="C8" s="21" t="str">
        <f>INDEX(Lookup_Tables!$A$5:$A$8,MATCH(B8,Lookup_Tables!$B$5:$B$8,0))</f>
        <v>Sadie Pawthorne</v>
      </c>
    </row>
    <row r="9" spans="1:3" ht="23.25" customHeight="1" x14ac:dyDescent="0.25">
      <c r="A9" s="14" t="s">
        <v>1138</v>
      </c>
      <c r="B9" s="26" t="s">
        <v>30</v>
      </c>
      <c r="C9" s="28">
        <f>INDEX(Sales,MATCH(B9,OrderID,0))</f>
        <v>9.99</v>
      </c>
    </row>
    <row r="11" spans="1:3" x14ac:dyDescent="0.25">
      <c r="A11" s="5"/>
    </row>
    <row r="12" spans="1:3" x14ac:dyDescent="0.25">
      <c r="A12" s="7"/>
      <c r="B12" s="11"/>
    </row>
    <row r="13" spans="1:3" x14ac:dyDescent="0.25">
      <c r="A13" s="7"/>
      <c r="B13" s="7"/>
    </row>
    <row r="14" spans="1:3" x14ac:dyDescent="0.25">
      <c r="A14" s="7"/>
      <c r="B14" s="7"/>
    </row>
    <row r="16" spans="1:3" ht="22.5" customHeight="1" x14ac:dyDescent="0.25">
      <c r="A16" s="15" t="s">
        <v>1207</v>
      </c>
    </row>
    <row r="17" spans="1:3" ht="22.5" customHeight="1" x14ac:dyDescent="0.25">
      <c r="A17" s="3" t="s">
        <v>1139</v>
      </c>
      <c r="B17" s="3" t="s">
        <v>1132</v>
      </c>
      <c r="C17" s="3" t="s">
        <v>1133</v>
      </c>
    </row>
    <row r="18" spans="1:3" ht="22.5" customHeight="1" x14ac:dyDescent="0.25">
      <c r="A18" s="7" t="s">
        <v>1140</v>
      </c>
      <c r="B18" s="27"/>
      <c r="C18" s="23" t="str">
        <f>IF(B18="","Enter an Order ID",IFERROR(VLOOKUP(B18,ReturnsTable,2,FALSE()),"Not returned"))</f>
        <v>Enter an Order ID</v>
      </c>
    </row>
    <row r="19" spans="1:3" ht="22.5" customHeight="1" x14ac:dyDescent="0.25">
      <c r="A19" s="7" t="s">
        <v>1141</v>
      </c>
      <c r="B19" s="27" t="s">
        <v>1142</v>
      </c>
      <c r="C19" s="23" t="str">
        <f>IFERROR(VLOOKUP(B19,ReturnsTable,2,FALSE()),"Not returned")</f>
        <v>Not returned</v>
      </c>
    </row>
    <row r="20" spans="1:3" ht="22.5" customHeight="1" x14ac:dyDescent="0.25">
      <c r="A20" s="7" t="s">
        <v>1143</v>
      </c>
      <c r="B20" s="27" t="s">
        <v>1144</v>
      </c>
      <c r="C20" s="23" t="str">
        <f>IFERROR(VLOOKUP(B20,ReturnsTable,2,FALSE()),"Not returned")</f>
        <v>Not returned</v>
      </c>
    </row>
    <row r="21" spans="1:3" ht="22.5" customHeight="1" x14ac:dyDescent="0.25">
      <c r="A21" s="7" t="s">
        <v>1145</v>
      </c>
      <c r="B21" s="27" t="s">
        <v>1144</v>
      </c>
      <c r="C21" s="23" t="str">
        <f>IFERROR(VLOOKUP(TRIM(B21),ReturnsTable,2,FALSE()),"Not returned")</f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zoomScaleNormal="100" workbookViewId="0">
      <selection activeCell="B35" sqref="B35"/>
    </sheetView>
  </sheetViews>
  <sheetFormatPr defaultColWidth="8.7109375" defaultRowHeight="15" x14ac:dyDescent="0.25"/>
  <cols>
    <col min="1" max="1" width="18" customWidth="1"/>
    <col min="2" max="2" width="11.7109375" customWidth="1"/>
    <col min="3" max="3" width="14.42578125" customWidth="1"/>
    <col min="4" max="4" width="14" customWidth="1"/>
    <col min="5" max="5" width="16" customWidth="1"/>
    <col min="6" max="7" width="14" customWidth="1"/>
    <col min="8" max="8" width="16" customWidth="1"/>
  </cols>
  <sheetData>
    <row r="1" spans="1:8" ht="18" x14ac:dyDescent="0.25">
      <c r="A1" s="1" t="s">
        <v>1146</v>
      </c>
    </row>
    <row r="3" spans="1:8" ht="42" customHeight="1" x14ac:dyDescent="0.25">
      <c r="A3" s="3" t="s">
        <v>18</v>
      </c>
      <c r="B3" s="3" t="s">
        <v>26</v>
      </c>
      <c r="C3" s="3" t="s">
        <v>28</v>
      </c>
      <c r="D3" s="3" t="s">
        <v>29</v>
      </c>
      <c r="E3" s="3" t="s">
        <v>1147</v>
      </c>
      <c r="F3" s="3" t="s">
        <v>1148</v>
      </c>
      <c r="G3" s="3" t="s">
        <v>1149</v>
      </c>
      <c r="H3" s="3" t="s">
        <v>1150</v>
      </c>
    </row>
    <row r="4" spans="1:8" x14ac:dyDescent="0.25">
      <c r="A4" s="23" t="str">
        <f>Data!A2</f>
        <v>CA-2026-192314</v>
      </c>
      <c r="B4" s="29">
        <f>Data!I2</f>
        <v>9.99</v>
      </c>
      <c r="C4" s="30">
        <f>Data!K2</f>
        <v>0</v>
      </c>
      <c r="D4" s="31">
        <f>Data!L2</f>
        <v>4.4954999999999998</v>
      </c>
      <c r="E4" s="23" t="str">
        <f t="shared" ref="E4:E23" si="0">IF(D4&gt;0,"Profit",IF(D4&lt;0,"Loss","Break-even"))</f>
        <v>Profit</v>
      </c>
      <c r="F4" s="32">
        <f t="shared" ref="F4:F23" si="1">IF(B4=0,0,D4/B4)</f>
        <v>0.44999999999999996</v>
      </c>
      <c r="G4" s="23" t="str">
        <f t="shared" ref="G4:G23" si="2">IF(F4&gt;=0.2,"High",IF(F4&gt;=0.1,"Medium",IF(F4&gt;=0,"Low","Loss")))</f>
        <v>High</v>
      </c>
      <c r="H4" s="23" t="str">
        <f t="shared" ref="H4:H23" si="3">IF(AND(C4&gt;0.3,D4&lt;0),"Risky","OK")</f>
        <v>OK</v>
      </c>
    </row>
    <row r="5" spans="1:8" x14ac:dyDescent="0.25">
      <c r="A5" s="23" t="str">
        <f>Data!A3</f>
        <v>US-2023-166863</v>
      </c>
      <c r="B5" s="29">
        <f>Data!I3</f>
        <v>201.584</v>
      </c>
      <c r="C5" s="30">
        <f>Data!K3</f>
        <v>0.2</v>
      </c>
      <c r="D5" s="31">
        <f>Data!L3</f>
        <v>20.1584</v>
      </c>
      <c r="E5" s="23" t="str">
        <f t="shared" si="0"/>
        <v>Profit</v>
      </c>
      <c r="F5" s="32">
        <f t="shared" si="1"/>
        <v>0.1</v>
      </c>
      <c r="G5" s="23" t="str">
        <f t="shared" si="2"/>
        <v>Medium</v>
      </c>
      <c r="H5" s="23" t="str">
        <f t="shared" si="3"/>
        <v>OK</v>
      </c>
    </row>
    <row r="6" spans="1:8" x14ac:dyDescent="0.25">
      <c r="A6" s="23" t="str">
        <f>Data!A4</f>
        <v>US-2023-147704</v>
      </c>
      <c r="B6" s="29">
        <f>Data!I4</f>
        <v>169.45</v>
      </c>
      <c r="C6" s="30">
        <f>Data!K4</f>
        <v>0</v>
      </c>
      <c r="D6" s="31">
        <f>Data!L4</f>
        <v>42.362499999999997</v>
      </c>
      <c r="E6" s="23" t="str">
        <f t="shared" si="0"/>
        <v>Profit</v>
      </c>
      <c r="F6" s="32">
        <f t="shared" si="1"/>
        <v>0.25</v>
      </c>
      <c r="G6" s="23" t="str">
        <f t="shared" si="2"/>
        <v>High</v>
      </c>
      <c r="H6" s="23" t="str">
        <f t="shared" si="3"/>
        <v>OK</v>
      </c>
    </row>
    <row r="7" spans="1:8" x14ac:dyDescent="0.25">
      <c r="A7" s="23" t="str">
        <f>Data!A5</f>
        <v>US-2023-163468</v>
      </c>
      <c r="B7" s="29">
        <f>Data!I5</f>
        <v>381.72</v>
      </c>
      <c r="C7" s="30">
        <f>Data!K5</f>
        <v>0.2</v>
      </c>
      <c r="D7" s="31">
        <f>Data!L5</f>
        <v>-66.801000000000002</v>
      </c>
      <c r="E7" s="23" t="str">
        <f t="shared" si="0"/>
        <v>Loss</v>
      </c>
      <c r="F7" s="32">
        <f t="shared" si="1"/>
        <v>-0.17499999999999999</v>
      </c>
      <c r="G7" s="23" t="str">
        <f t="shared" si="2"/>
        <v>Loss</v>
      </c>
      <c r="H7" s="23" t="str">
        <f t="shared" si="3"/>
        <v>OK</v>
      </c>
    </row>
    <row r="8" spans="1:8" x14ac:dyDescent="0.25">
      <c r="A8" s="23" t="str">
        <f>Data!A6</f>
        <v>US-2026-102288</v>
      </c>
      <c r="B8" s="29">
        <f>Data!I6</f>
        <v>2.2639999999999998</v>
      </c>
      <c r="C8" s="30">
        <f>Data!K6</f>
        <v>0.8</v>
      </c>
      <c r="D8" s="31">
        <f>Data!L6</f>
        <v>-5.2072000000000003</v>
      </c>
      <c r="E8" s="23" t="str">
        <f t="shared" si="0"/>
        <v>Loss</v>
      </c>
      <c r="F8" s="32">
        <f t="shared" si="1"/>
        <v>-2.3000000000000003</v>
      </c>
      <c r="G8" s="23" t="str">
        <f t="shared" si="2"/>
        <v>Loss</v>
      </c>
      <c r="H8" s="23" t="str">
        <f t="shared" si="3"/>
        <v>Risky</v>
      </c>
    </row>
    <row r="9" spans="1:8" x14ac:dyDescent="0.25">
      <c r="A9" s="23" t="str">
        <f>Data!A7</f>
        <v>US-2026-160899</v>
      </c>
      <c r="B9" s="29">
        <f>Data!I7</f>
        <v>477.51</v>
      </c>
      <c r="C9" s="30">
        <f>Data!K7</f>
        <v>0</v>
      </c>
      <c r="D9" s="31">
        <f>Data!L7</f>
        <v>219.65459999999999</v>
      </c>
      <c r="E9" s="23" t="str">
        <f t="shared" si="0"/>
        <v>Profit</v>
      </c>
      <c r="F9" s="32">
        <f t="shared" si="1"/>
        <v>0.45999999999999996</v>
      </c>
      <c r="G9" s="23" t="str">
        <f t="shared" si="2"/>
        <v>High</v>
      </c>
      <c r="H9" s="23" t="str">
        <f t="shared" si="3"/>
        <v>OK</v>
      </c>
    </row>
    <row r="10" spans="1:8" x14ac:dyDescent="0.25">
      <c r="A10" s="23" t="str">
        <f>Data!A8</f>
        <v>US-2025-138695</v>
      </c>
      <c r="B10" s="29">
        <f>Data!I8</f>
        <v>390.27199999999999</v>
      </c>
      <c r="C10" s="30">
        <f>Data!K8</f>
        <v>0.2</v>
      </c>
      <c r="D10" s="31">
        <f>Data!L8</f>
        <v>-24.391999999999999</v>
      </c>
      <c r="E10" s="23" t="str">
        <f t="shared" si="0"/>
        <v>Loss</v>
      </c>
      <c r="F10" s="32">
        <f t="shared" si="1"/>
        <v>-6.25E-2</v>
      </c>
      <c r="G10" s="23" t="str">
        <f t="shared" si="2"/>
        <v>Loss</v>
      </c>
      <c r="H10" s="23" t="str">
        <f t="shared" si="3"/>
        <v>OK</v>
      </c>
    </row>
    <row r="11" spans="1:8" x14ac:dyDescent="0.25">
      <c r="A11" s="23" t="str">
        <f>Data!A9</f>
        <v>US-2026-107132</v>
      </c>
      <c r="B11" s="29">
        <f>Data!I9</f>
        <v>28.4</v>
      </c>
      <c r="C11" s="30">
        <f>Data!K9</f>
        <v>0</v>
      </c>
      <c r="D11" s="31">
        <f>Data!L9</f>
        <v>8.2360000000000007</v>
      </c>
      <c r="E11" s="23" t="str">
        <f t="shared" si="0"/>
        <v>Profit</v>
      </c>
      <c r="F11" s="32">
        <f t="shared" si="1"/>
        <v>0.29000000000000004</v>
      </c>
      <c r="G11" s="23" t="str">
        <f t="shared" si="2"/>
        <v>High</v>
      </c>
      <c r="H11" s="23" t="str">
        <f t="shared" si="3"/>
        <v>OK</v>
      </c>
    </row>
    <row r="12" spans="1:8" x14ac:dyDescent="0.25">
      <c r="A12" s="23" t="str">
        <f>Data!A10</f>
        <v>US-2024-133242</v>
      </c>
      <c r="B12" s="29">
        <f>Data!I10</f>
        <v>34.6</v>
      </c>
      <c r="C12" s="30">
        <f>Data!K10</f>
        <v>0</v>
      </c>
      <c r="D12" s="31">
        <f>Data!L10</f>
        <v>16.608000000000001</v>
      </c>
      <c r="E12" s="23" t="str">
        <f t="shared" si="0"/>
        <v>Profit</v>
      </c>
      <c r="F12" s="32">
        <f t="shared" si="1"/>
        <v>0.48</v>
      </c>
      <c r="G12" s="23" t="str">
        <f t="shared" si="2"/>
        <v>High</v>
      </c>
      <c r="H12" s="23" t="str">
        <f t="shared" si="3"/>
        <v>OK</v>
      </c>
    </row>
    <row r="13" spans="1:8" x14ac:dyDescent="0.25">
      <c r="A13" s="23" t="str">
        <f>Data!A11</f>
        <v>US-2025-121748</v>
      </c>
      <c r="B13" s="29">
        <f>Data!I11</f>
        <v>100</v>
      </c>
      <c r="C13" s="30">
        <f>Data!K11</f>
        <v>0</v>
      </c>
      <c r="D13" s="31">
        <f>Data!L11</f>
        <v>21</v>
      </c>
      <c r="E13" s="23" t="str">
        <f t="shared" si="0"/>
        <v>Profit</v>
      </c>
      <c r="F13" s="32">
        <f t="shared" si="1"/>
        <v>0.21</v>
      </c>
      <c r="G13" s="23" t="str">
        <f t="shared" si="2"/>
        <v>High</v>
      </c>
      <c r="H13" s="23" t="str">
        <f t="shared" si="3"/>
        <v>OK</v>
      </c>
    </row>
    <row r="14" spans="1:8" x14ac:dyDescent="0.25">
      <c r="A14" s="23" t="str">
        <f>Data!A12</f>
        <v>US-2026-149706</v>
      </c>
      <c r="B14" s="29">
        <f>Data!I12</f>
        <v>116.312</v>
      </c>
      <c r="C14" s="30">
        <f>Data!K12</f>
        <v>0.2</v>
      </c>
      <c r="D14" s="31">
        <f>Data!L12</f>
        <v>23.2624</v>
      </c>
      <c r="E14" s="23" t="str">
        <f t="shared" si="0"/>
        <v>Profit</v>
      </c>
      <c r="F14" s="32">
        <f t="shared" si="1"/>
        <v>0.2</v>
      </c>
      <c r="G14" s="23" t="str">
        <f t="shared" si="2"/>
        <v>High</v>
      </c>
      <c r="H14" s="23" t="str">
        <f t="shared" si="3"/>
        <v>OK</v>
      </c>
    </row>
    <row r="15" spans="1:8" x14ac:dyDescent="0.25">
      <c r="A15" s="23" t="str">
        <f>Data!A13</f>
        <v>US-2026-148922</v>
      </c>
      <c r="B15" s="29">
        <f>Data!I13</f>
        <v>38.97</v>
      </c>
      <c r="C15" s="30">
        <f>Data!K13</f>
        <v>0</v>
      </c>
      <c r="D15" s="31">
        <f>Data!L13</f>
        <v>0.77940000000000098</v>
      </c>
      <c r="E15" s="23" t="str">
        <f t="shared" si="0"/>
        <v>Profit</v>
      </c>
      <c r="F15" s="32">
        <f t="shared" si="1"/>
        <v>2.0000000000000025E-2</v>
      </c>
      <c r="G15" s="23" t="str">
        <f t="shared" si="2"/>
        <v>Low</v>
      </c>
      <c r="H15" s="23" t="str">
        <f t="shared" si="3"/>
        <v>OK</v>
      </c>
    </row>
    <row r="16" spans="1:8" x14ac:dyDescent="0.25">
      <c r="A16" s="23" t="str">
        <f>Data!A14</f>
        <v>US-2026-119809</v>
      </c>
      <c r="B16" s="29">
        <f>Data!I14</f>
        <v>65.94</v>
      </c>
      <c r="C16" s="30">
        <f>Data!K14</f>
        <v>0</v>
      </c>
      <c r="D16" s="31">
        <f>Data!L14</f>
        <v>22.419599999999999</v>
      </c>
      <c r="E16" s="23" t="str">
        <f t="shared" si="0"/>
        <v>Profit</v>
      </c>
      <c r="F16" s="32">
        <f t="shared" si="1"/>
        <v>0.34</v>
      </c>
      <c r="G16" s="23" t="str">
        <f t="shared" si="2"/>
        <v>High</v>
      </c>
      <c r="H16" s="23" t="str">
        <f t="shared" si="3"/>
        <v>OK</v>
      </c>
    </row>
    <row r="17" spans="1:8" x14ac:dyDescent="0.25">
      <c r="A17" s="23" t="str">
        <f>Data!A15</f>
        <v>US-2026-143252</v>
      </c>
      <c r="B17" s="29">
        <f>Data!I15</f>
        <v>29.34</v>
      </c>
      <c r="C17" s="30">
        <f>Data!K15</f>
        <v>0</v>
      </c>
      <c r="D17" s="31">
        <f>Data!L15</f>
        <v>10.8558</v>
      </c>
      <c r="E17" s="23" t="str">
        <f t="shared" si="0"/>
        <v>Profit</v>
      </c>
      <c r="F17" s="32">
        <f t="shared" si="1"/>
        <v>0.37</v>
      </c>
      <c r="G17" s="23" t="str">
        <f t="shared" si="2"/>
        <v>High</v>
      </c>
      <c r="H17" s="23" t="str">
        <f t="shared" si="3"/>
        <v>OK</v>
      </c>
    </row>
    <row r="18" spans="1:8" x14ac:dyDescent="0.25">
      <c r="A18" s="23" t="str">
        <f>Data!A16</f>
        <v>US-2026-152807</v>
      </c>
      <c r="B18" s="29">
        <f>Data!I16</f>
        <v>11.167999999999999</v>
      </c>
      <c r="C18" s="30">
        <f>Data!K16</f>
        <v>0.2</v>
      </c>
      <c r="D18" s="31">
        <f>Data!L16</f>
        <v>-2.5127999999999999</v>
      </c>
      <c r="E18" s="23" t="str">
        <f t="shared" si="0"/>
        <v>Loss</v>
      </c>
      <c r="F18" s="32">
        <f t="shared" si="1"/>
        <v>-0.22500000000000001</v>
      </c>
      <c r="G18" s="23" t="str">
        <f t="shared" si="2"/>
        <v>Loss</v>
      </c>
      <c r="H18" s="23" t="str">
        <f t="shared" si="3"/>
        <v>OK</v>
      </c>
    </row>
    <row r="19" spans="1:8" x14ac:dyDescent="0.25">
      <c r="A19" s="23" t="str">
        <f>Data!A17</f>
        <v>US-2025-113733</v>
      </c>
      <c r="B19" s="29">
        <f>Data!I17</f>
        <v>68.111999999999995</v>
      </c>
      <c r="C19" s="30">
        <f>Data!K17</f>
        <v>0.2</v>
      </c>
      <c r="D19" s="31">
        <f>Data!L17</f>
        <v>17.8794</v>
      </c>
      <c r="E19" s="23" t="str">
        <f t="shared" si="0"/>
        <v>Profit</v>
      </c>
      <c r="F19" s="32">
        <f t="shared" si="1"/>
        <v>0.26250000000000001</v>
      </c>
      <c r="G19" s="23" t="str">
        <f t="shared" si="2"/>
        <v>High</v>
      </c>
      <c r="H19" s="23" t="str">
        <f t="shared" si="3"/>
        <v>OK</v>
      </c>
    </row>
    <row r="20" spans="1:8" x14ac:dyDescent="0.25">
      <c r="A20" s="23" t="str">
        <f>Data!A18</f>
        <v>US-2026-135062</v>
      </c>
      <c r="B20" s="29">
        <f>Data!I18</f>
        <v>229.54400000000001</v>
      </c>
      <c r="C20" s="30">
        <f>Data!K18</f>
        <v>0.2</v>
      </c>
      <c r="D20" s="31">
        <f>Data!L18</f>
        <v>83.209699999999998</v>
      </c>
      <c r="E20" s="23" t="str">
        <f t="shared" si="0"/>
        <v>Profit</v>
      </c>
      <c r="F20" s="32">
        <f t="shared" si="1"/>
        <v>0.36249999999999999</v>
      </c>
      <c r="G20" s="23" t="str">
        <f t="shared" si="2"/>
        <v>High</v>
      </c>
      <c r="H20" s="23" t="str">
        <f t="shared" si="3"/>
        <v>OK</v>
      </c>
    </row>
    <row r="21" spans="1:8" x14ac:dyDescent="0.25">
      <c r="A21" s="23" t="str">
        <f>Data!A19</f>
        <v>US-2026-163566</v>
      </c>
      <c r="B21" s="29">
        <f>Data!I19</f>
        <v>16.52</v>
      </c>
      <c r="C21" s="30">
        <f>Data!K19</f>
        <v>0.2</v>
      </c>
      <c r="D21" s="31">
        <f>Data!L19</f>
        <v>5.3689999999999998</v>
      </c>
      <c r="E21" s="23" t="str">
        <f t="shared" si="0"/>
        <v>Profit</v>
      </c>
      <c r="F21" s="32">
        <f t="shared" si="1"/>
        <v>0.32500000000000001</v>
      </c>
      <c r="G21" s="23" t="str">
        <f t="shared" si="2"/>
        <v>High</v>
      </c>
      <c r="H21" s="23" t="str">
        <f t="shared" si="3"/>
        <v>OK</v>
      </c>
    </row>
    <row r="22" spans="1:8" x14ac:dyDescent="0.25">
      <c r="A22" s="23" t="str">
        <f>Data!A20</f>
        <v>US-2024-138121</v>
      </c>
      <c r="B22" s="29">
        <f>Data!I20</f>
        <v>212.13</v>
      </c>
      <c r="C22" s="30">
        <f>Data!K20</f>
        <v>0</v>
      </c>
      <c r="D22" s="31">
        <f>Data!L20</f>
        <v>14.8491</v>
      </c>
      <c r="E22" s="23" t="str">
        <f t="shared" si="0"/>
        <v>Profit</v>
      </c>
      <c r="F22" s="32">
        <f t="shared" si="1"/>
        <v>7.0000000000000007E-2</v>
      </c>
      <c r="G22" s="23" t="str">
        <f t="shared" si="2"/>
        <v>Low</v>
      </c>
      <c r="H22" s="23" t="str">
        <f t="shared" si="3"/>
        <v>OK</v>
      </c>
    </row>
    <row r="23" spans="1:8" x14ac:dyDescent="0.25">
      <c r="A23" s="23" t="str">
        <f>Data!A21</f>
        <v>US-2025-159639</v>
      </c>
      <c r="B23" s="29">
        <f>Data!I21</f>
        <v>31.56</v>
      </c>
      <c r="C23" s="30">
        <f>Data!K21</f>
        <v>0</v>
      </c>
      <c r="D23" s="31">
        <f>Data!L21</f>
        <v>10.4148</v>
      </c>
      <c r="E23" s="23" t="str">
        <f t="shared" si="0"/>
        <v>Profit</v>
      </c>
      <c r="F23" s="32">
        <f t="shared" si="1"/>
        <v>0.33</v>
      </c>
      <c r="G23" s="23" t="str">
        <f t="shared" si="2"/>
        <v>High</v>
      </c>
      <c r="H23" s="23" t="str">
        <f t="shared" si="3"/>
        <v>OK</v>
      </c>
    </row>
    <row r="26" spans="1:8" x14ac:dyDescent="0.25">
      <c r="A26" s="5" t="s">
        <v>1151</v>
      </c>
    </row>
    <row r="27" spans="1:8" x14ac:dyDescent="0.25">
      <c r="A27" s="3" t="s">
        <v>1139</v>
      </c>
      <c r="B27" s="3" t="s">
        <v>1132</v>
      </c>
      <c r="C27" s="3" t="s">
        <v>1133</v>
      </c>
      <c r="D27" s="3"/>
    </row>
    <row r="28" spans="1:8" x14ac:dyDescent="0.25">
      <c r="A28" s="23" t="s">
        <v>1152</v>
      </c>
      <c r="B28" s="27"/>
      <c r="C28" s="21" t="str">
        <f>IF(B28="","Blank",IF(B28&gt;0,"Profit","Loss"))</f>
        <v>Blank</v>
      </c>
      <c r="D28" s="23"/>
    </row>
    <row r="29" spans="1:8" ht="18.75" customHeight="1" x14ac:dyDescent="0.25">
      <c r="A29" s="23" t="s">
        <v>1153</v>
      </c>
      <c r="B29" s="33" t="s">
        <v>1154</v>
      </c>
      <c r="C29" s="21" t="str">
        <f>IF(ISNUMBER(B29),"Number","Text: use VALUE()")</f>
        <v>Text: use VALUE()</v>
      </c>
      <c r="D29" s="23"/>
    </row>
    <row r="30" spans="1:8" x14ac:dyDescent="0.25">
      <c r="A30" s="23" t="s">
        <v>1155</v>
      </c>
      <c r="B30" s="33" t="s">
        <v>1154</v>
      </c>
      <c r="C30" s="21">
        <f>VALUE(B30)+10</f>
        <v>160</v>
      </c>
      <c r="D30" s="2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opLeftCell="A6" zoomScaleNormal="100" workbookViewId="0">
      <selection activeCell="F22" sqref="F22"/>
    </sheetView>
  </sheetViews>
  <sheetFormatPr defaultColWidth="8.7109375" defaultRowHeight="15" x14ac:dyDescent="0.25"/>
  <cols>
    <col min="1" max="1" width="48.42578125" customWidth="1"/>
    <col min="2" max="2" width="17.140625" customWidth="1"/>
    <col min="3" max="3" width="44" customWidth="1"/>
    <col min="4" max="5" width="16" customWidth="1"/>
    <col min="6" max="6" width="48" customWidth="1"/>
  </cols>
  <sheetData>
    <row r="1" spans="1:6" ht="18" x14ac:dyDescent="0.25">
      <c r="A1" s="1" t="s">
        <v>1156</v>
      </c>
    </row>
    <row r="3" spans="1:6" x14ac:dyDescent="0.25">
      <c r="A3" s="35" t="s">
        <v>1157</v>
      </c>
      <c r="B3" s="27" t="s">
        <v>75</v>
      </c>
    </row>
    <row r="4" spans="1:6" x14ac:dyDescent="0.25">
      <c r="A4" s="35" t="s">
        <v>1158</v>
      </c>
      <c r="B4" s="27" t="s">
        <v>63</v>
      </c>
    </row>
    <row r="5" spans="1:6" x14ac:dyDescent="0.25">
      <c r="A5" s="35" t="s">
        <v>1159</v>
      </c>
      <c r="B5" s="34">
        <v>500</v>
      </c>
    </row>
    <row r="7" spans="1:6" x14ac:dyDescent="0.25">
      <c r="A7" s="3" t="s">
        <v>1160</v>
      </c>
      <c r="B7" s="3" t="s">
        <v>1133</v>
      </c>
      <c r="C7" s="3"/>
      <c r="D7" s="3"/>
      <c r="E7" s="3"/>
      <c r="F7" s="3" t="s">
        <v>1161</v>
      </c>
    </row>
    <row r="8" spans="1:6" x14ac:dyDescent="0.25">
      <c r="A8" s="38" t="s">
        <v>1162</v>
      </c>
      <c r="B8" s="29">
        <f>SUMIF(Region,B3,Sales)</f>
        <v>13195.691999999999</v>
      </c>
      <c r="C8" s="20" t="s">
        <v>1208</v>
      </c>
      <c r="D8" s="36"/>
      <c r="E8" s="36"/>
      <c r="F8" s="38" t="s">
        <v>1163</v>
      </c>
    </row>
    <row r="9" spans="1:6" x14ac:dyDescent="0.25">
      <c r="A9" s="38" t="s">
        <v>1164</v>
      </c>
      <c r="B9" s="29">
        <f>SUMIFS(Sales,Region,B3)</f>
        <v>13195.691999999999</v>
      </c>
      <c r="C9" s="20" t="s">
        <v>1209</v>
      </c>
      <c r="D9" s="36"/>
      <c r="E9" s="36"/>
      <c r="F9" s="38" t="s">
        <v>1165</v>
      </c>
    </row>
    <row r="10" spans="1:6" x14ac:dyDescent="0.25">
      <c r="A10" s="38" t="s">
        <v>1166</v>
      </c>
      <c r="B10" s="29">
        <f>SUMIFS(Sales,Region,B3,Category,B4)</f>
        <v>3059.4580000000001</v>
      </c>
      <c r="C10" s="20" t="s">
        <v>1210</v>
      </c>
      <c r="D10" s="36"/>
      <c r="E10" s="36"/>
      <c r="F10" s="38" t="s">
        <v>1167</v>
      </c>
    </row>
    <row r="11" spans="1:6" x14ac:dyDescent="0.25">
      <c r="A11" s="38" t="s">
        <v>1168</v>
      </c>
      <c r="B11" s="29">
        <f>SUMIFS(Sales,Sales,"&gt;"&amp;B5)</f>
        <v>26727.634999999998</v>
      </c>
      <c r="C11" s="20" t="s">
        <v>1211</v>
      </c>
      <c r="D11" s="36"/>
      <c r="E11" s="36"/>
      <c r="F11" s="38" t="s">
        <v>1169</v>
      </c>
    </row>
    <row r="12" spans="1:6" x14ac:dyDescent="0.25">
      <c r="A12" s="38" t="s">
        <v>1170</v>
      </c>
      <c r="B12" s="37">
        <f>COUNTIF(Region,B3)</f>
        <v>99</v>
      </c>
      <c r="C12" s="20" t="s">
        <v>1212</v>
      </c>
      <c r="D12" s="36"/>
      <c r="E12" s="36"/>
      <c r="F12" s="38" t="s">
        <v>1171</v>
      </c>
    </row>
    <row r="13" spans="1:6" x14ac:dyDescent="0.25">
      <c r="A13" s="38" t="s">
        <v>1172</v>
      </c>
      <c r="B13" s="37">
        <f>COUNTIFS(Region,B3,Category,B4)</f>
        <v>10</v>
      </c>
      <c r="C13" s="20" t="s">
        <v>1213</v>
      </c>
      <c r="D13" s="36"/>
      <c r="E13" s="36"/>
      <c r="F13" s="38" t="s">
        <v>1173</v>
      </c>
    </row>
    <row r="14" spans="1:6" x14ac:dyDescent="0.25">
      <c r="A14" s="38" t="s">
        <v>1174</v>
      </c>
      <c r="B14" s="37">
        <f>COUNTIFS(Region,B3,Profit,"&lt;0")</f>
        <v>6</v>
      </c>
      <c r="C14" s="20" t="s">
        <v>1214</v>
      </c>
      <c r="D14" s="36"/>
      <c r="E14" s="36"/>
      <c r="F14" s="38" t="s">
        <v>1175</v>
      </c>
    </row>
    <row r="15" spans="1:6" x14ac:dyDescent="0.25">
      <c r="A15" s="38" t="s">
        <v>1176</v>
      </c>
      <c r="B15" s="32">
        <f>AVERAGEIFS(Discount,Region,B3,Category,B4)</f>
        <v>0.16999999999999998</v>
      </c>
      <c r="C15" s="20" t="s">
        <v>1215</v>
      </c>
      <c r="D15" s="36"/>
      <c r="E15" s="36"/>
      <c r="F15" s="38" t="s">
        <v>1177</v>
      </c>
    </row>
    <row r="16" spans="1:6" x14ac:dyDescent="0.25">
      <c r="A16" s="38" t="s">
        <v>1178</v>
      </c>
      <c r="B16" s="23" t="str">
        <f>IF(ROUND(B8-B9,2)=0,"Yes","No")</f>
        <v>Yes</v>
      </c>
      <c r="C16" s="20" t="s">
        <v>1216</v>
      </c>
      <c r="D16" s="36"/>
      <c r="E16" s="36"/>
      <c r="F16" s="38" t="s">
        <v>1179</v>
      </c>
    </row>
    <row r="19" spans="1:5" x14ac:dyDescent="0.25">
      <c r="A19" s="5" t="s">
        <v>1180</v>
      </c>
    </row>
    <row r="20" spans="1:5" x14ac:dyDescent="0.25">
      <c r="A20" s="3" t="s">
        <v>22</v>
      </c>
      <c r="B20" s="3" t="s">
        <v>63</v>
      </c>
      <c r="C20" s="3" t="s">
        <v>34</v>
      </c>
      <c r="D20" s="3" t="s">
        <v>41</v>
      </c>
      <c r="E20" s="3" t="s">
        <v>1181</v>
      </c>
    </row>
    <row r="21" spans="1:5" x14ac:dyDescent="0.25">
      <c r="A21" s="11" t="s">
        <v>40</v>
      </c>
      <c r="B21" s="39">
        <f t="shared" ref="B21:D24" si="0">SUMIFS(Sales,Region,$A21,Category,B$20)</f>
        <v>2245.9490000000001</v>
      </c>
      <c r="C21" s="39">
        <f t="shared" si="0"/>
        <v>2740.0469999999991</v>
      </c>
      <c r="D21" s="39">
        <f t="shared" si="0"/>
        <v>4570.6979999999994</v>
      </c>
      <c r="E21" s="39">
        <f>SUM(B21:D21)</f>
        <v>9556.6939999999995</v>
      </c>
    </row>
    <row r="22" spans="1:5" x14ac:dyDescent="0.25">
      <c r="A22" s="11" t="s">
        <v>33</v>
      </c>
      <c r="B22" s="39">
        <f t="shared" si="0"/>
        <v>4717.8559999999998</v>
      </c>
      <c r="C22" s="39">
        <f>SUMIFS(Sales,Region,$A22,Category,C$20)</f>
        <v>2407.9639999999999</v>
      </c>
      <c r="D22" s="39">
        <f t="shared" si="0"/>
        <v>6593.0320000000011</v>
      </c>
      <c r="E22" s="39">
        <f>SUM(B22:D22)</f>
        <v>13718.852000000001</v>
      </c>
    </row>
    <row r="23" spans="1:5" x14ac:dyDescent="0.25">
      <c r="A23" s="11" t="s">
        <v>58</v>
      </c>
      <c r="B23" s="39">
        <f t="shared" si="0"/>
        <v>3062.7220000000002</v>
      </c>
      <c r="C23" s="39">
        <f>SUMIFS(Sales,Region,$A23,Category,C$20)</f>
        <v>2444.1319999999996</v>
      </c>
      <c r="D23" s="39">
        <f t="shared" si="0"/>
        <v>11873.352000000001</v>
      </c>
      <c r="E23" s="39">
        <f>SUM(B23:D23)</f>
        <v>17380.205999999998</v>
      </c>
    </row>
    <row r="24" spans="1:5" x14ac:dyDescent="0.25">
      <c r="A24" s="11" t="s">
        <v>75</v>
      </c>
      <c r="B24" s="39">
        <f t="shared" si="0"/>
        <v>3059.4580000000001</v>
      </c>
      <c r="C24" s="39">
        <f t="shared" si="0"/>
        <v>6961.4279999999981</v>
      </c>
      <c r="D24" s="39">
        <f t="shared" si="0"/>
        <v>3174.8059999999991</v>
      </c>
      <c r="E24" s="39">
        <f>SUM(B24:D24)</f>
        <v>13195.691999999997</v>
      </c>
    </row>
    <row r="25" spans="1:5" x14ac:dyDescent="0.25">
      <c r="A25" s="11" t="s">
        <v>1181</v>
      </c>
      <c r="B25" s="40">
        <f>SUM(B21:B24)</f>
        <v>13085.985000000001</v>
      </c>
      <c r="C25" s="40">
        <f>SUM(C21:C24)</f>
        <v>14553.570999999996</v>
      </c>
      <c r="D25" s="40">
        <f>SUM(D21:D24)</f>
        <v>26211.888000000003</v>
      </c>
      <c r="E25" s="40">
        <f>SUM(E21:E24)</f>
        <v>53851.443999999996</v>
      </c>
    </row>
    <row r="26" spans="1:5" x14ac:dyDescent="0.25">
      <c r="A26" s="18" t="s">
        <v>1182</v>
      </c>
      <c r="B26" s="41">
        <f>ROUND(E25-SUM(Sales),2)</f>
        <v>0</v>
      </c>
      <c r="C26" s="23" t="s">
        <v>1183</v>
      </c>
      <c r="D26" s="36"/>
      <c r="E26" s="3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opLeftCell="A2" zoomScaleNormal="100" workbookViewId="0">
      <selection activeCell="I18" sqref="I18"/>
    </sheetView>
  </sheetViews>
  <sheetFormatPr defaultColWidth="8.7109375" defaultRowHeight="15" x14ac:dyDescent="0.25"/>
  <cols>
    <col min="1" max="1" width="18" customWidth="1"/>
    <col min="2" max="2" width="20" customWidth="1"/>
    <col min="3" max="3" width="12" customWidth="1"/>
    <col min="4" max="4" width="9" customWidth="1"/>
    <col min="5" max="5" width="13" customWidth="1"/>
    <col min="6" max="6" width="9.7109375" customWidth="1"/>
    <col min="7" max="9" width="14" customWidth="1"/>
    <col min="10" max="10" width="20" customWidth="1"/>
    <col min="11" max="11" width="36" customWidth="1"/>
    <col min="12" max="12" width="14" customWidth="1"/>
  </cols>
  <sheetData>
    <row r="1" spans="1:12" ht="18" x14ac:dyDescent="0.25">
      <c r="A1" s="1" t="s">
        <v>1184</v>
      </c>
    </row>
    <row r="3" spans="1:12" ht="42" customHeight="1" x14ac:dyDescent="0.25">
      <c r="A3" s="3" t="s">
        <v>18</v>
      </c>
      <c r="B3" s="3" t="s">
        <v>20</v>
      </c>
      <c r="C3" s="3" t="s">
        <v>1185</v>
      </c>
      <c r="D3" s="3" t="s">
        <v>1186</v>
      </c>
      <c r="E3" s="3" t="s">
        <v>1187</v>
      </c>
      <c r="F3" s="3" t="s">
        <v>1188</v>
      </c>
      <c r="G3" s="3" t="s">
        <v>1189</v>
      </c>
      <c r="H3" s="3" t="s">
        <v>1190</v>
      </c>
      <c r="I3" s="3" t="s">
        <v>1191</v>
      </c>
      <c r="J3" s="3" t="s">
        <v>1192</v>
      </c>
      <c r="K3" s="3" t="s">
        <v>1193</v>
      </c>
      <c r="L3" s="3" t="s">
        <v>1194</v>
      </c>
    </row>
    <row r="4" spans="1:12" x14ac:dyDescent="0.25">
      <c r="A4" s="7" t="str">
        <f>Data!A2</f>
        <v>CA-2026-192314</v>
      </c>
      <c r="B4" s="7" t="str">
        <f>Data!C2</f>
        <v>Jennifer Sheldon</v>
      </c>
      <c r="C4" s="7" t="str">
        <f t="shared" ref="C4:C13" si="0">LEFT(A4,2)</f>
        <v>CA</v>
      </c>
      <c r="D4" s="7" t="str">
        <f t="shared" ref="D4:D13" si="1">MID(A4,4,4)</f>
        <v>2026</v>
      </c>
      <c r="E4" s="7" t="str">
        <f t="shared" ref="E4:E13" si="2">RIGHT(A4,6)</f>
        <v>192314</v>
      </c>
      <c r="F4" s="7">
        <f t="shared" ref="F4:F13" si="3">LEN(B4)</f>
        <v>16</v>
      </c>
      <c r="G4" s="7">
        <f t="shared" ref="G4:G13" si="4">FIND(" ",B4)</f>
        <v>9</v>
      </c>
      <c r="H4" s="7" t="str">
        <f t="shared" ref="H4:H13" si="5">LEFT(B4,G4-1)</f>
        <v>Jennifer</v>
      </c>
      <c r="I4" s="7" t="str">
        <f t="shared" ref="I4:I13" si="6">MID(B4,G4+1,LEN(B4))</f>
        <v>Sheldon</v>
      </c>
      <c r="J4" s="7" t="str">
        <f t="shared" ref="J4:J13" si="7">UPPER(B4)</f>
        <v>JENNIFER SHELDON</v>
      </c>
      <c r="K4" s="7" t="str">
        <f t="shared" ref="K4:K13" si="8">B4&amp;" - "&amp;A4</f>
        <v>Jennifer Sheldon - CA-2026-192314</v>
      </c>
      <c r="L4" s="7" t="str">
        <f>TEXT(Data!B2,"dd-mmm-yyyy")</f>
        <v>26-Sep-2026</v>
      </c>
    </row>
    <row r="5" spans="1:12" x14ac:dyDescent="0.25">
      <c r="A5" s="7" t="str">
        <f>Data!A3</f>
        <v>US-2023-166863</v>
      </c>
      <c r="B5" s="7" t="str">
        <f>Data!C3</f>
        <v>Sam Craven</v>
      </c>
      <c r="C5" s="7" t="str">
        <f t="shared" si="0"/>
        <v>US</v>
      </c>
      <c r="D5" s="7" t="str">
        <f t="shared" si="1"/>
        <v>2023</v>
      </c>
      <c r="E5" s="7" t="str">
        <f t="shared" si="2"/>
        <v>166863</v>
      </c>
      <c r="F5" s="7">
        <f t="shared" si="3"/>
        <v>10</v>
      </c>
      <c r="G5" s="7">
        <f t="shared" si="4"/>
        <v>4</v>
      </c>
      <c r="H5" s="7" t="str">
        <f t="shared" si="5"/>
        <v>Sam</v>
      </c>
      <c r="I5" s="7" t="str">
        <f t="shared" si="6"/>
        <v>Craven</v>
      </c>
      <c r="J5" s="7" t="str">
        <f t="shared" si="7"/>
        <v>SAM CRAVEN</v>
      </c>
      <c r="K5" s="7" t="str">
        <f t="shared" si="8"/>
        <v>Sam Craven - US-2023-166863</v>
      </c>
      <c r="L5" s="7" t="str">
        <f>TEXT(Data!B3,"dd-mmm-yyyy")</f>
        <v>20-Jun-2023</v>
      </c>
    </row>
    <row r="6" spans="1:12" x14ac:dyDescent="0.25">
      <c r="A6" s="7" t="str">
        <f>Data!A4</f>
        <v>US-2023-147704</v>
      </c>
      <c r="B6" s="7" t="str">
        <f>Data!C4</f>
        <v>Steven Roelle</v>
      </c>
      <c r="C6" s="7" t="str">
        <f t="shared" si="0"/>
        <v>US</v>
      </c>
      <c r="D6" s="7" t="str">
        <f t="shared" si="1"/>
        <v>2023</v>
      </c>
      <c r="E6" s="7" t="str">
        <f t="shared" si="2"/>
        <v>147704</v>
      </c>
      <c r="F6" s="7">
        <f t="shared" si="3"/>
        <v>13</v>
      </c>
      <c r="G6" s="7">
        <f t="shared" si="4"/>
        <v>7</v>
      </c>
      <c r="H6" s="7" t="str">
        <f t="shared" si="5"/>
        <v>Steven</v>
      </c>
      <c r="I6" s="7" t="str">
        <f t="shared" si="6"/>
        <v>Roelle</v>
      </c>
      <c r="J6" s="7" t="str">
        <f t="shared" si="7"/>
        <v>STEVEN ROELLE</v>
      </c>
      <c r="K6" s="7" t="str">
        <f t="shared" si="8"/>
        <v>Steven Roelle - US-2023-147704</v>
      </c>
      <c r="L6" s="7" t="str">
        <f>TEXT(Data!B4,"dd-mmm-yyyy")</f>
        <v>16-Nov-2023</v>
      </c>
    </row>
    <row r="7" spans="1:12" x14ac:dyDescent="0.25">
      <c r="A7" s="7" t="str">
        <f>Data!A5</f>
        <v>US-2023-163468</v>
      </c>
      <c r="B7" s="7" t="str">
        <f>Data!C5</f>
        <v>Joe Kamberova</v>
      </c>
      <c r="C7" s="7" t="str">
        <f t="shared" si="0"/>
        <v>US</v>
      </c>
      <c r="D7" s="7" t="str">
        <f t="shared" si="1"/>
        <v>2023</v>
      </c>
      <c r="E7" s="7" t="str">
        <f t="shared" si="2"/>
        <v>163468</v>
      </c>
      <c r="F7" s="7">
        <f t="shared" si="3"/>
        <v>13</v>
      </c>
      <c r="G7" s="7">
        <f t="shared" si="4"/>
        <v>4</v>
      </c>
      <c r="H7" s="7" t="str">
        <f t="shared" si="5"/>
        <v>Joe</v>
      </c>
      <c r="I7" s="7" t="str">
        <f t="shared" si="6"/>
        <v>Kamberova</v>
      </c>
      <c r="J7" s="7" t="str">
        <f t="shared" si="7"/>
        <v>JOE KAMBEROVA</v>
      </c>
      <c r="K7" s="7" t="str">
        <f t="shared" si="8"/>
        <v>Joe Kamberova - US-2023-163468</v>
      </c>
      <c r="L7" s="7" t="str">
        <f>TEXT(Data!B5,"dd-mmm-yyyy")</f>
        <v>18-Nov-2023</v>
      </c>
    </row>
    <row r="8" spans="1:12" x14ac:dyDescent="0.25">
      <c r="A8" s="7" t="str">
        <f>Data!A6</f>
        <v>US-2026-102288</v>
      </c>
      <c r="B8" s="7" t="str">
        <f>Data!C6</f>
        <v>Zuschuss Carroll</v>
      </c>
      <c r="C8" s="7" t="str">
        <f t="shared" si="0"/>
        <v>US</v>
      </c>
      <c r="D8" s="7" t="str">
        <f t="shared" si="1"/>
        <v>2026</v>
      </c>
      <c r="E8" s="7" t="str">
        <f t="shared" si="2"/>
        <v>102288</v>
      </c>
      <c r="F8" s="7">
        <f t="shared" si="3"/>
        <v>16</v>
      </c>
      <c r="G8" s="7">
        <f t="shared" si="4"/>
        <v>9</v>
      </c>
      <c r="H8" s="7" t="str">
        <f t="shared" si="5"/>
        <v>Zuschuss</v>
      </c>
      <c r="I8" s="7" t="str">
        <f t="shared" si="6"/>
        <v>Carroll</v>
      </c>
      <c r="J8" s="7" t="str">
        <f t="shared" si="7"/>
        <v>ZUSCHUSS CARROLL</v>
      </c>
      <c r="K8" s="7" t="str">
        <f t="shared" si="8"/>
        <v>Zuschuss Carroll - US-2026-102288</v>
      </c>
      <c r="L8" s="7" t="str">
        <f>TEXT(Data!B6,"dd-mmm-yyyy")</f>
        <v>19-Jun-2026</v>
      </c>
    </row>
    <row r="9" spans="1:12" x14ac:dyDescent="0.25">
      <c r="A9" s="7" t="str">
        <f>Data!A7</f>
        <v>US-2026-160899</v>
      </c>
      <c r="B9" s="7" t="str">
        <f>Data!C7</f>
        <v>Daniel Raglin</v>
      </c>
      <c r="C9" s="7" t="str">
        <f t="shared" si="0"/>
        <v>US</v>
      </c>
      <c r="D9" s="7" t="str">
        <f t="shared" si="1"/>
        <v>2026</v>
      </c>
      <c r="E9" s="7" t="str">
        <f t="shared" si="2"/>
        <v>160899</v>
      </c>
      <c r="F9" s="7">
        <f t="shared" si="3"/>
        <v>13</v>
      </c>
      <c r="G9" s="7">
        <f t="shared" si="4"/>
        <v>7</v>
      </c>
      <c r="H9" s="7" t="str">
        <f t="shared" si="5"/>
        <v>Daniel</v>
      </c>
      <c r="I9" s="7" t="str">
        <f t="shared" si="6"/>
        <v>Raglin</v>
      </c>
      <c r="J9" s="7" t="str">
        <f t="shared" si="7"/>
        <v>DANIEL RAGLIN</v>
      </c>
      <c r="K9" s="7" t="str">
        <f t="shared" si="8"/>
        <v>Daniel Raglin - US-2026-160899</v>
      </c>
      <c r="L9" s="7" t="str">
        <f>TEXT(Data!B7,"dd-mmm-yyyy")</f>
        <v>11-Aug-2026</v>
      </c>
    </row>
    <row r="10" spans="1:12" x14ac:dyDescent="0.25">
      <c r="A10" s="7" t="str">
        <f>Data!A8</f>
        <v>US-2025-138695</v>
      </c>
      <c r="B10" s="7" t="str">
        <f>Data!C8</f>
        <v>Kimberly Carter</v>
      </c>
      <c r="C10" s="7" t="str">
        <f t="shared" si="0"/>
        <v>US</v>
      </c>
      <c r="D10" s="7" t="str">
        <f t="shared" si="1"/>
        <v>2025</v>
      </c>
      <c r="E10" s="7" t="str">
        <f t="shared" si="2"/>
        <v>138695</v>
      </c>
      <c r="F10" s="7">
        <f t="shared" si="3"/>
        <v>15</v>
      </c>
      <c r="G10" s="7">
        <f t="shared" si="4"/>
        <v>9</v>
      </c>
      <c r="H10" s="7" t="str">
        <f t="shared" si="5"/>
        <v>Kimberly</v>
      </c>
      <c r="I10" s="7" t="str">
        <f t="shared" si="6"/>
        <v>Carter</v>
      </c>
      <c r="J10" s="7" t="str">
        <f t="shared" si="7"/>
        <v>KIMBERLY CARTER</v>
      </c>
      <c r="K10" s="7" t="str">
        <f t="shared" si="8"/>
        <v>Kimberly Carter - US-2025-138695</v>
      </c>
      <c r="L10" s="7" t="str">
        <f>TEXT(Data!B8,"dd-mmm-yyyy")</f>
        <v>28-May-2025</v>
      </c>
    </row>
    <row r="11" spans="1:12" x14ac:dyDescent="0.25">
      <c r="A11" s="7" t="str">
        <f>Data!A9</f>
        <v>US-2026-107132</v>
      </c>
      <c r="B11" s="7" t="str">
        <f>Data!C9</f>
        <v>Scott Cohen</v>
      </c>
      <c r="C11" s="7" t="str">
        <f t="shared" si="0"/>
        <v>US</v>
      </c>
      <c r="D11" s="7" t="str">
        <f t="shared" si="1"/>
        <v>2026</v>
      </c>
      <c r="E11" s="7" t="str">
        <f t="shared" si="2"/>
        <v>107132</v>
      </c>
      <c r="F11" s="7">
        <f t="shared" si="3"/>
        <v>11</v>
      </c>
      <c r="G11" s="7">
        <f t="shared" si="4"/>
        <v>6</v>
      </c>
      <c r="H11" s="7" t="str">
        <f t="shared" si="5"/>
        <v>Scott</v>
      </c>
      <c r="I11" s="7" t="str">
        <f t="shared" si="6"/>
        <v>Cohen</v>
      </c>
      <c r="J11" s="7" t="str">
        <f t="shared" si="7"/>
        <v>SCOTT COHEN</v>
      </c>
      <c r="K11" s="7" t="str">
        <f t="shared" si="8"/>
        <v>Scott Cohen - US-2026-107132</v>
      </c>
      <c r="L11" s="7" t="str">
        <f>TEXT(Data!B9,"dd-mmm-yyyy")</f>
        <v>26-Jun-2026</v>
      </c>
    </row>
    <row r="12" spans="1:12" x14ac:dyDescent="0.25">
      <c r="A12" s="7" t="str">
        <f>Data!A10</f>
        <v>US-2024-133242</v>
      </c>
      <c r="B12" s="7" t="str">
        <f>Data!C10</f>
        <v>Keith Herrera</v>
      </c>
      <c r="C12" s="7" t="str">
        <f t="shared" si="0"/>
        <v>US</v>
      </c>
      <c r="D12" s="7" t="str">
        <f t="shared" si="1"/>
        <v>2024</v>
      </c>
      <c r="E12" s="7" t="str">
        <f t="shared" si="2"/>
        <v>133242</v>
      </c>
      <c r="F12" s="7">
        <f t="shared" si="3"/>
        <v>13</v>
      </c>
      <c r="G12" s="7">
        <f t="shared" si="4"/>
        <v>6</v>
      </c>
      <c r="H12" s="7" t="str">
        <f t="shared" si="5"/>
        <v>Keith</v>
      </c>
      <c r="I12" s="7" t="str">
        <f t="shared" si="6"/>
        <v>Herrera</v>
      </c>
      <c r="J12" s="7" t="str">
        <f t="shared" si="7"/>
        <v>KEITH HERRERA</v>
      </c>
      <c r="K12" s="7" t="str">
        <f t="shared" si="8"/>
        <v>Keith Herrera - US-2024-133242</v>
      </c>
      <c r="L12" s="7" t="str">
        <f>TEXT(Data!B10,"dd-mmm-yyyy")</f>
        <v>18-Jun-2024</v>
      </c>
    </row>
    <row r="13" spans="1:12" x14ac:dyDescent="0.25">
      <c r="A13" s="7" t="str">
        <f>Data!A11</f>
        <v>US-2025-121748</v>
      </c>
      <c r="B13" s="7" t="str">
        <f>Data!C11</f>
        <v>Victoria Wilson</v>
      </c>
      <c r="C13" s="7" t="str">
        <f t="shared" si="0"/>
        <v>US</v>
      </c>
      <c r="D13" s="7" t="str">
        <f t="shared" si="1"/>
        <v>2025</v>
      </c>
      <c r="E13" s="7" t="str">
        <f t="shared" si="2"/>
        <v>121748</v>
      </c>
      <c r="F13" s="7">
        <f t="shared" si="3"/>
        <v>15</v>
      </c>
      <c r="G13" s="7">
        <f t="shared" si="4"/>
        <v>9</v>
      </c>
      <c r="H13" s="7" t="str">
        <f t="shared" si="5"/>
        <v>Victoria</v>
      </c>
      <c r="I13" s="7" t="str">
        <f t="shared" si="6"/>
        <v>Wilson</v>
      </c>
      <c r="J13" s="7" t="str">
        <f t="shared" si="7"/>
        <v>VICTORIA WILSON</v>
      </c>
      <c r="K13" s="7" t="str">
        <f t="shared" si="8"/>
        <v>Victoria Wilson - US-2025-121748</v>
      </c>
      <c r="L13" s="7" t="str">
        <f>TEXT(Data!B11,"dd-mmm-yyyy")</f>
        <v>24-Oct-2025</v>
      </c>
    </row>
    <row r="16" spans="1:12" x14ac:dyDescent="0.25">
      <c r="A16" s="5" t="s">
        <v>1195</v>
      </c>
    </row>
    <row r="17" spans="1:6" ht="42" customHeight="1" x14ac:dyDescent="0.25">
      <c r="A17" s="3" t="s">
        <v>1196</v>
      </c>
      <c r="B17" s="3" t="s">
        <v>1197</v>
      </c>
      <c r="C17" s="3" t="s">
        <v>1198</v>
      </c>
      <c r="D17" s="3" t="s">
        <v>1199</v>
      </c>
      <c r="E17" s="19" t="s">
        <v>1200</v>
      </c>
      <c r="F17" s="3" t="s">
        <v>1201</v>
      </c>
    </row>
    <row r="18" spans="1:6" x14ac:dyDescent="0.25">
      <c r="A18" s="10" t="s">
        <v>1202</v>
      </c>
      <c r="B18" s="7" t="str">
        <f>TRIM(A18)</f>
        <v>aLiCe smith</v>
      </c>
      <c r="C18" s="7" t="str">
        <f>PROPER(TRIM(A18))</f>
        <v>Alice Smith</v>
      </c>
      <c r="D18" s="7" t="str">
        <f>LOWER(A18)</f>
        <v xml:space="preserve">  alice   smith  </v>
      </c>
      <c r="E18" s="7" t="str">
        <f>SUBSTITUTE(A18,"-","/")</f>
        <v xml:space="preserve">  aLiCe   smith  </v>
      </c>
      <c r="F18" s="7" t="str">
        <f>CONCATENATE("Customer: ",TRIM(A18))</f>
        <v>Customer: aLiCe smith</v>
      </c>
    </row>
    <row r="19" spans="1:6" x14ac:dyDescent="0.25">
      <c r="A19" s="10" t="s">
        <v>1203</v>
      </c>
      <c r="B19" s="7" t="str">
        <f>TRIM(A19)</f>
        <v>US-2023-103800</v>
      </c>
      <c r="C19" s="7" t="str">
        <f>PROPER(TRIM(A19))</f>
        <v>Us-2023-103800</v>
      </c>
      <c r="D19" s="7" t="str">
        <f>LOWER(A19)</f>
        <v>us-2023-103800</v>
      </c>
      <c r="E19" s="7" t="str">
        <f>SUBSTITUTE(A19,"-","/")</f>
        <v>US/2023/103800</v>
      </c>
      <c r="F19" s="7" t="str">
        <f>CONCATENATE("Customer: ",TRIM(A19))</f>
        <v>Customer: US-2023-103800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showGridLines="0" tabSelected="1" zoomScaleNormal="100" workbookViewId="0">
      <pane ySplit="4" topLeftCell="A6" activePane="bottomLeft" state="frozen"/>
      <selection pane="bottomLeft" activeCell="E10" sqref="E10"/>
    </sheetView>
  </sheetViews>
  <sheetFormatPr defaultColWidth="8.7109375" defaultRowHeight="15" x14ac:dyDescent="0.25"/>
  <cols>
    <col min="1" max="1" width="30.140625" customWidth="1"/>
    <col min="2" max="2" width="40" customWidth="1"/>
  </cols>
  <sheetData>
    <row r="1" spans="1:2" ht="18" x14ac:dyDescent="0.25">
      <c r="A1" s="1" t="s">
        <v>0</v>
      </c>
    </row>
    <row r="2" spans="1:2" x14ac:dyDescent="0.25">
      <c r="A2" s="2"/>
    </row>
    <row r="4" spans="1:2" ht="31.5" customHeight="1" x14ac:dyDescent="0.25">
      <c r="A4" s="17" t="s">
        <v>1</v>
      </c>
      <c r="B4" s="17" t="s">
        <v>2</v>
      </c>
    </row>
    <row r="5" spans="1:2" ht="31.5" customHeight="1" x14ac:dyDescent="0.25">
      <c r="A5" s="4" t="s">
        <v>4</v>
      </c>
      <c r="B5" s="12" t="s">
        <v>5</v>
      </c>
    </row>
    <row r="6" spans="1:2" ht="31.5" customHeight="1" x14ac:dyDescent="0.25">
      <c r="A6" s="4" t="s">
        <v>6</v>
      </c>
      <c r="B6" s="12" t="s">
        <v>1205</v>
      </c>
    </row>
    <row r="7" spans="1:2" ht="31.5" customHeight="1" x14ac:dyDescent="0.25">
      <c r="A7" s="13" t="s">
        <v>7</v>
      </c>
      <c r="B7" s="12" t="s">
        <v>8</v>
      </c>
    </row>
    <row r="8" spans="1:2" ht="31.5" customHeight="1" x14ac:dyDescent="0.25">
      <c r="A8" s="13" t="s">
        <v>9</v>
      </c>
      <c r="B8" s="12" t="s">
        <v>1204</v>
      </c>
    </row>
    <row r="9" spans="1:2" ht="31.5" customHeight="1" x14ac:dyDescent="0.25">
      <c r="A9" s="13" t="s">
        <v>10</v>
      </c>
      <c r="B9" s="12" t="s">
        <v>11</v>
      </c>
    </row>
    <row r="10" spans="1:2" ht="31.5" customHeight="1" x14ac:dyDescent="0.25">
      <c r="A10" s="13" t="s">
        <v>12</v>
      </c>
      <c r="B10" s="12" t="s">
        <v>13</v>
      </c>
    </row>
    <row r="11" spans="1:2" ht="31.5" customHeight="1" x14ac:dyDescent="0.25">
      <c r="A11" s="22" t="s">
        <v>1217</v>
      </c>
      <c r="B11" s="12" t="s">
        <v>1206</v>
      </c>
    </row>
    <row r="12" spans="1:2" ht="31.5" customHeight="1" x14ac:dyDescent="0.25">
      <c r="A12" s="13" t="s">
        <v>14</v>
      </c>
      <c r="B12" s="12" t="s">
        <v>15</v>
      </c>
    </row>
    <row r="13" spans="1:2" ht="31.5" customHeight="1" x14ac:dyDescent="0.25">
      <c r="A13" s="13" t="s">
        <v>16</v>
      </c>
      <c r="B13" s="12" t="s">
        <v>17</v>
      </c>
    </row>
    <row r="14" spans="1:2" x14ac:dyDescent="0.25">
      <c r="A14" s="5"/>
    </row>
    <row r="15" spans="1:2" ht="15" customHeight="1" x14ac:dyDescent="0.25">
      <c r="A15" s="4"/>
      <c r="B15" s="6"/>
    </row>
    <row r="16" spans="1:2" ht="23.85" customHeight="1" x14ac:dyDescent="0.25">
      <c r="A16" s="4"/>
      <c r="B16" s="6"/>
    </row>
    <row r="17" spans="1:2" ht="35.1" customHeight="1" x14ac:dyDescent="0.25">
      <c r="A17" s="4"/>
      <c r="B17" s="6"/>
    </row>
    <row r="19" spans="1:2" x14ac:dyDescent="0.25">
      <c r="A19" s="5"/>
    </row>
    <row r="20" spans="1:2" x14ac:dyDescent="0.25">
      <c r="A20" s="7"/>
    </row>
    <row r="21" spans="1:2" x14ac:dyDescent="0.25">
      <c r="A21" s="7"/>
    </row>
    <row r="22" spans="1:2" x14ac:dyDescent="0.25">
      <c r="A22" s="7"/>
    </row>
    <row r="23" spans="1:2" x14ac:dyDescent="0.25">
      <c r="A23" s="7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Data</vt:lpstr>
      <vt:lpstr>Lookup_Tables</vt:lpstr>
      <vt:lpstr>Lookup</vt:lpstr>
      <vt:lpstr>IF_Functions</vt:lpstr>
      <vt:lpstr>SUMIFS_COUNTIFS</vt:lpstr>
      <vt:lpstr>Text_Functions</vt:lpstr>
      <vt:lpstr>Notes</vt:lpstr>
      <vt:lpstr>Category</vt:lpstr>
      <vt:lpstr>Customer</vt:lpstr>
      <vt:lpstr>Discount</vt:lpstr>
      <vt:lpstr>DiscountTiers</vt:lpstr>
      <vt:lpstr>OrderDate</vt:lpstr>
      <vt:lpstr>OrderID</vt:lpstr>
      <vt:lpstr>PeopleTable</vt:lpstr>
      <vt:lpstr>ProductName</vt:lpstr>
      <vt:lpstr>Profit</vt:lpstr>
      <vt:lpstr>Quantity</vt:lpstr>
      <vt:lpstr>Region</vt:lpstr>
      <vt:lpstr>ReturnsTable</vt:lpstr>
      <vt:lpstr>Sales</vt:lpstr>
      <vt:lpstr>Segment</vt:lpstr>
      <vt:lpstr>SubCategory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MAHAKAAL</cp:lastModifiedBy>
  <cp:revision>0</cp:revision>
  <dcterms:created xsi:type="dcterms:W3CDTF">2026-10-25T12:29:38Z</dcterms:created>
  <dcterms:modified xsi:type="dcterms:W3CDTF">2026-10-25T15:06:15Z</dcterms:modified>
  <dc:language>en-US</dc:language>
</cp:coreProperties>
</file>